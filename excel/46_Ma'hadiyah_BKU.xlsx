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MOHARROM" sheetId="4" r:id="rId8"/>
    <sheet state="visible" name="DZULHIJJAH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<sst xmlns="http://schemas.openxmlformats.org/spreadsheetml/2006/main" count="877" uniqueCount="118">
  <si>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</si>
  <si>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</si>
  <si>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</si>
  <si>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</si>
  <si>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</si>
  <si>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</si>
  <si>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</si>
  <si>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</si>
  <si>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</si>
  <si>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</si>
  <si>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</si>
  <si>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</si>
  <si>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</si>
  <si>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</si>
  <si>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</si>
  <si>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</si>
  <si>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</si>
  <si>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</si>
  <si>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</si>
  <si>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</si>
  <si>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</si>
  <si>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</si>
  <si>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</si>
  <si>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</si>
  <si>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</si>
  <si>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</si>
  <si>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</si>
  <si>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</si>
  <si>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</si>
  <si>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</si>
  <si>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</si>
  <si>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</si>
  <si>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</si>
  <si>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</si>
  <si>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</si>
  <si>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</si>
  <si>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</si>
  <si>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</si>
  <si>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</si>
  <si>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</si>
  <si>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</si>
  <si>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</si>
  <si>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</si>
  <si>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</si>
  <si>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</si>
  <si>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</si>
  <si>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</si>
  <si>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</si>
  <si>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</si>
  <si>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PSB</t>
  </si>
  <si>
    <t>Papan Nama</t>
  </si>
  <si>
    <t>Buku Paperline</t>
  </si>
  <si>
    <t>Alat Batas santri</t>
  </si>
  <si>
    <t>Lampu</t>
  </si>
  <si>
    <t>lain lain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</si>
  <si>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</si>
  <si>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</si>
  <si>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</si>
  <si>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</si>
  <si>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PSB / Uang gedung, surat izin</t>
  </si>
  <si>
    <t xml:space="preserve">Sapu lidi 4 biji </t>
  </si>
  <si>
    <t xml:space="preserve">Sapu lantai 5 </t>
  </si>
  <si>
    <t>Jikrak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</si>
  <si>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</si>
  <si>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</si>
  <si>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</si>
  <si>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</si>
  <si>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</si>
  <si>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</si>
  <si>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</si>
  <si>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</si>
  <si>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</si>
  <si>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</si>
  <si>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</si>
  <si>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</si>
  <si>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</si>
  <si>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</si>
  <si>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</si>
  <si>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</si>
  <si>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</si>
  <si>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</si>
  <si>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</si>
  <si>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Shafar</t>
  </si>
  <si>
    <t>Saldo Bulan Dzulhijjah</t>
  </si>
  <si>
    <t>Sampang,.........................................</t>
  </si>
  <si>
    <t>: Dzulhijjah</t>
  </si>
  <si>
    <t>Saldo awal bulan Dzul Qo'dah</t>
  </si>
  <si>
    <t>Sampang,......................................</t>
  </si>
  <si>
    <t>: Muharram</t>
  </si>
  <si>
    <t>Sampang, ...................................................</t>
  </si>
  <si>
    <t>: Rabiul Awal</t>
  </si>
  <si>
    <t>Saldo awal Bulan Muharrom</t>
  </si>
  <si>
    <t>Sampang, .....................................................</t>
  </si>
  <si>
    <t>: Rabiul Tsani</t>
  </si>
  <si>
    <t>Saldo Awal Bulan R. Awal</t>
  </si>
  <si>
    <t>Sampang, .......................................................</t>
  </si>
  <si>
    <t>: Jumadal Ula</t>
  </si>
  <si>
    <t>Saldo Awal Bulan R. Tsani</t>
  </si>
  <si>
    <t>Sampang, .................................................</t>
  </si>
  <si>
    <t>: Jumadas Tsani</t>
  </si>
  <si>
    <t xml:space="preserve">IMNI TSANAWIYAH </t>
  </si>
  <si>
    <t>ID Card✅</t>
  </si>
  <si>
    <t>Map tas kancing✅</t>
  </si>
  <si>
    <t>Kertas A4 sidu✅</t>
  </si>
  <si>
    <t>Kertas F4 sidu✅</t>
  </si>
  <si>
    <t>Transport✅</t>
  </si>
  <si>
    <t>Banner✅</t>
  </si>
  <si>
    <t>Labsoma✅</t>
  </si>
  <si>
    <t>Konsumsi✅</t>
  </si>
  <si>
    <t>Batu ampar✅</t>
  </si>
  <si>
    <t>Lain lain✅</t>
  </si>
  <si>
    <t>: Rajab</t>
  </si>
  <si>
    <t>Saldo Awal Bulan J. Tsani</t>
  </si>
  <si>
    <t>Sampang, ..........................................</t>
  </si>
  <si>
    <t>: Sya'ban</t>
  </si>
  <si>
    <t>Saldo Awal Bulan Rajab</t>
  </si>
  <si>
    <t>: Ramadhan</t>
  </si>
  <si>
    <t>Saldo Awal Bulan Sya'ban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</si>
</sst>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27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0.0"/>
      <color rgb="FFFF0000"/>
      <name val="Cambria"/>
    </font>
    <font>
      <sz val="10.0"/>
      <color rgb="FF00FF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color rgb="FF000000"/>
      <name val="Cambria"/>
    </font>
    <font>
      <sz val="12.0"/>
      <color rgb="FF000000"/>
      <name val="Cambria"/>
    </font>
    <font>
      <b/>
      <sz val="11.0"/>
      <color theme="1"/>
      <name val="Cambria"/>
    </font>
    <font>
      <sz val="12.0"/>
      <color rgb="FFFF0000"/>
      <name val="Cambria"/>
    </font>
    <font>
      <sz val="10.0"/>
      <color rgb="FF000000"/>
      <name val="Cambria"/>
    </font>
    <font>
      <color theme="1"/>
      <name val="Arial"/>
    </font>
    <font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1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readingOrder="0" shrinkToFit="0" vertical="bottom" wrapText="0"/>
    </xf>
    <xf borderId="23" fillId="3" fontId="14" numFmtId="0" xfId="0" applyAlignment="1" applyBorder="1" applyFont="1">
      <alignment readingOrder="0" shrinkToFit="1" vertical="center" wrapText="0"/>
    </xf>
    <xf borderId="23" fillId="4" fontId="14" numFmtId="0" xfId="0" applyAlignment="1" applyBorder="1" applyFont="1">
      <alignment readingOrder="0" shrinkToFit="1" vertical="center" wrapText="0"/>
    </xf>
    <xf borderId="24" fillId="3" fontId="15" numFmtId="0" xfId="0" applyAlignment="1" applyBorder="1" applyFont="1">
      <alignment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3" fillId="4" fontId="16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8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7" numFmtId="3" xfId="0" applyAlignment="1" applyFont="1" applyNumberFormat="1">
      <alignment shrinkToFit="0" vertical="bottom" wrapText="0"/>
    </xf>
    <xf borderId="0" fillId="0" fontId="19" numFmtId="0" xfId="0" applyAlignment="1" applyFont="1">
      <alignment horizontal="left" shrinkToFit="1" vertical="center" wrapText="0"/>
    </xf>
    <xf borderId="23" fillId="4" fontId="20" numFmtId="0" xfId="0" applyAlignment="1" applyBorder="1" applyFont="1">
      <alignment horizontal="left" readingOrder="0" shrinkToFit="0" wrapText="0"/>
    </xf>
    <xf borderId="10" fillId="4" fontId="21" numFmtId="3" xfId="0" applyAlignment="1" applyBorder="1" applyFont="1" applyNumberFormat="1">
      <alignment horizontal="right" readingOrder="0" shrinkToFit="0" wrapText="0"/>
    </xf>
    <xf borderId="23" fillId="3" fontId="20" numFmtId="0" xfId="0" applyAlignment="1" applyBorder="1" applyFont="1">
      <alignment horizontal="left" readingOrder="0" shrinkToFit="0" wrapText="0"/>
    </xf>
    <xf borderId="10" fillId="3" fontId="21" numFmtId="3" xfId="0" applyAlignment="1" applyBorder="1" applyFont="1" applyNumberFormat="1">
      <alignment horizontal="right" readingOrder="0" shrinkToFit="0" wrapText="0"/>
    </xf>
    <xf borderId="10" fillId="3" fontId="21" numFmtId="3" xfId="0" applyAlignment="1" applyBorder="1" applyFont="1" applyNumberFormat="1">
      <alignment horizontal="right" shrinkToFit="0" wrapText="0"/>
    </xf>
    <xf borderId="10" fillId="4" fontId="21" numFmtId="3" xfId="0" applyAlignment="1" applyBorder="1" applyFont="1" applyNumberFormat="1">
      <alignment horizontal="right" shrinkToFit="0" wrapText="0"/>
    </xf>
    <xf borderId="23" fillId="3" fontId="8" numFmtId="0" xfId="0" applyAlignment="1" applyBorder="1" applyFont="1">
      <alignment horizontal="center" shrinkToFit="1" vertical="center" wrapText="0"/>
    </xf>
    <xf borderId="23" fillId="4" fontId="8" numFmtId="0" xfId="0" applyAlignment="1" applyBorder="1" applyFont="1">
      <alignment horizontal="center" shrinkToFit="1" vertical="center" wrapText="0"/>
    </xf>
    <xf borderId="10" fillId="4" fontId="7" numFmtId="0" xfId="0" applyAlignment="1" applyBorder="1" applyFont="1">
      <alignment shrinkToFit="0" vertical="bottom" wrapText="0"/>
    </xf>
    <xf borderId="37" fillId="3" fontId="7" numFmtId="3" xfId="0" applyAlignment="1" applyBorder="1" applyFont="1" applyNumberFormat="1">
      <alignment horizontal="right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9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1" fillId="0" fontId="10" numFmtId="167" xfId="0" applyAlignment="1" applyBorder="1" applyFont="1" applyNumberFormat="1">
      <alignment shrinkToFit="0" vertical="center" wrapText="0"/>
    </xf>
    <xf borderId="42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3" fillId="0" fontId="10" numFmtId="14" xfId="0" applyAlignment="1" applyBorder="1" applyFont="1" applyNumberFormat="1">
      <alignment horizontal="center" shrinkToFit="0" vertical="center" wrapText="0"/>
    </xf>
    <xf borderId="44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5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6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3" fillId="3" fontId="8" numFmtId="0" xfId="0" applyAlignment="1" applyBorder="1" applyFont="1">
      <alignment horizontal="left" shrinkToFit="1" vertical="center" wrapText="0"/>
    </xf>
    <xf borderId="47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left" shrinkToFit="1" vertical="center" wrapText="0"/>
    </xf>
    <xf borderId="46" fillId="2" fontId="22" numFmtId="3" xfId="0" applyAlignment="1" applyBorder="1" applyFont="1" applyNumberFormat="1">
      <alignment horizontal="right" shrinkToFit="0" vertical="center" wrapText="0"/>
    </xf>
    <xf borderId="17" fillId="4" fontId="7" numFmtId="0" xfId="0" applyAlignment="1" applyBorder="1" applyFont="1">
      <alignment horizontal="center" readingOrder="0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17" fillId="3" fontId="23" numFmtId="14" xfId="0" applyAlignment="1" applyBorder="1" applyFont="1" applyNumberFormat="1">
      <alignment horizontal="center" shrinkToFit="0" vertical="center" wrapText="0"/>
    </xf>
    <xf borderId="10" fillId="3" fontId="23" numFmtId="14" xfId="0" applyAlignment="1" applyBorder="1" applyFont="1" applyNumberFormat="1">
      <alignment horizontal="center" shrinkToFit="0" vertical="center" wrapText="0"/>
    </xf>
    <xf borderId="24" fillId="3" fontId="23" numFmtId="14" xfId="0" applyAlignment="1" applyBorder="1" applyFont="1" applyNumberFormat="1">
      <alignment horizontal="center" shrinkToFit="0" vertical="center" wrapText="0"/>
    </xf>
    <xf borderId="25" fillId="3" fontId="23" numFmtId="0" xfId="0" applyAlignment="1" applyBorder="1" applyFont="1">
      <alignment horizontal="center" shrinkToFit="0" vertical="center" wrapText="0"/>
    </xf>
    <xf borderId="23" fillId="3" fontId="24" numFmtId="0" xfId="0" applyAlignment="1" applyBorder="1" applyFont="1">
      <alignment horizontal="left" readingOrder="0" shrinkToFit="1" vertical="center" wrapText="0"/>
    </xf>
    <xf borderId="25" fillId="3" fontId="21" numFmtId="3" xfId="0" applyAlignment="1" applyBorder="1" applyFont="1" applyNumberFormat="1">
      <alignment horizontal="right" shrinkToFit="0" vertical="center" wrapText="0"/>
    </xf>
    <xf borderId="25" fillId="3" fontId="21" numFmtId="3" xfId="0" applyAlignment="1" applyBorder="1" applyFont="1" applyNumberFormat="1">
      <alignment horizontal="right" readingOrder="0" shrinkToFit="0" vertical="center" wrapText="0"/>
    </xf>
    <xf borderId="21" fillId="3" fontId="21" numFmtId="3" xfId="0" applyAlignment="1" applyBorder="1" applyFont="1" applyNumberFormat="1">
      <alignment horizontal="right" shrinkToFit="0" vertical="center" wrapText="0"/>
    </xf>
    <xf borderId="14" fillId="4" fontId="8" numFmtId="0" xfId="0" applyAlignment="1" applyBorder="1" applyFont="1">
      <alignment horizontal="center" shrinkToFit="1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48" fillId="4" fontId="7" numFmtId="3" xfId="0" applyAlignment="1" applyBorder="1" applyFont="1" applyNumberFormat="1">
      <alignment horizontal="right" shrinkToFit="0" vertical="center" wrapText="0"/>
    </xf>
    <xf borderId="48" fillId="3" fontId="7" numFmtId="3" xfId="0" applyAlignment="1" applyBorder="1" applyFont="1" applyNumberFormat="1">
      <alignment horizontal="right" shrinkToFit="0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48" fillId="3" fontId="7" numFmtId="0" xfId="0" applyAlignment="1" applyBorder="1" applyFont="1">
      <alignment horizontal="center" readingOrder="0" shrinkToFit="0" vertical="center" wrapText="0"/>
    </xf>
    <xf borderId="7" fillId="4" fontId="25" numFmtId="14" xfId="0" applyBorder="1" applyFont="1" applyNumberFormat="1"/>
    <xf borderId="24" fillId="4" fontId="25" numFmtId="14" xfId="0" applyBorder="1" applyFont="1" applyNumberFormat="1"/>
    <xf borderId="25" fillId="4" fontId="25" numFmtId="0" xfId="0" applyBorder="1" applyFont="1"/>
    <xf borderId="23" fillId="4" fontId="26" numFmtId="0" xfId="0" applyBorder="1" applyFont="1"/>
    <xf borderId="25" fillId="4" fontId="25" numFmtId="3" xfId="0" applyBorder="1" applyFont="1" applyNumberFormat="1"/>
    <xf borderId="25" fillId="4" fontId="7" numFmtId="3" xfId="0" applyAlignment="1" applyBorder="1" applyFont="1" applyNumberFormat="1">
      <alignment horizontal="right"/>
    </xf>
    <xf borderId="7" fillId="3" fontId="7" numFmtId="14" xfId="0" applyAlignment="1" applyBorder="1" applyFont="1" applyNumberFormat="1">
      <alignment horizontal="center"/>
    </xf>
    <xf borderId="24" fillId="3" fontId="25" numFmtId="14" xfId="0" applyBorder="1" applyFont="1" applyNumberFormat="1"/>
    <xf borderId="25" fillId="3" fontId="25" numFmtId="0" xfId="0" applyBorder="1" applyFont="1"/>
    <xf borderId="23" fillId="3" fontId="26" numFmtId="0" xfId="0" applyBorder="1" applyFont="1"/>
    <xf borderId="25" fillId="3" fontId="25" numFmtId="3" xfId="0" applyBorder="1" applyFont="1" applyNumberFormat="1"/>
    <xf borderId="25" fillId="3" fontId="7" numFmtId="3" xfId="0" applyAlignment="1" applyBorder="1" applyFont="1" applyNumberFormat="1">
      <alignment horizontal="right"/>
    </xf>
    <xf borderId="7" fillId="4" fontId="7" numFmtId="14" xfId="0" applyAlignment="1" applyBorder="1" applyFont="1" applyNumberFormat="1">
      <alignment horizontal="center"/>
    </xf>
    <xf borderId="7" fillId="3" fontId="25" numFmtId="14" xfId="0" applyBorder="1" applyFont="1" applyNumberFormat="1"/>
    <xf borderId="25" fillId="4" fontId="25" numFmtId="3" xfId="0" applyAlignment="1" applyBorder="1" applyFont="1" applyNumberFormat="1">
      <alignment readingOrder="0"/>
    </xf>
    <xf borderId="33" fillId="4" fontId="7" numFmtId="14" xfId="0" applyAlignment="1" applyBorder="1" applyFont="1" applyNumberFormat="1">
      <alignment horizontal="center" shrinkToFit="0" vertical="center" wrapText="0"/>
    </xf>
    <xf borderId="48" fillId="4" fontId="7" numFmtId="0" xfId="0" applyAlignment="1" applyBorder="1" applyFont="1">
      <alignment horizontal="center" shrinkToFit="0" vertical="center" wrapText="0"/>
    </xf>
    <xf borderId="49" fillId="3" fontId="7" numFmtId="14" xfId="0" applyAlignment="1" applyBorder="1" applyFont="1" applyNumberFormat="1">
      <alignment horizontal="center" shrinkToFit="0" vertical="center" wrapText="0"/>
    </xf>
    <xf borderId="49" fillId="4" fontId="7" numFmtId="14" xfId="0" applyAlignment="1" applyBorder="1" applyFont="1" applyNumberFormat="1">
      <alignment horizontal="center" shrinkToFit="0" vertical="center" wrapText="0"/>
    </xf>
    <xf borderId="50" fillId="4" fontId="7" numFmtId="14" xfId="0" applyAlignment="1" applyBorder="1" applyFont="1" applyNumberFormat="1">
      <alignment horizontal="center" shrinkToFit="0" vertical="center" wrapText="0"/>
    </xf>
    <xf borderId="24" fillId="3" fontId="7" numFmtId="0" xfId="0" applyAlignment="1" applyBorder="1" applyFont="1">
      <alignment horizontal="left" shrinkToFit="0" vertical="bottom" wrapText="0"/>
    </xf>
    <xf borderId="37" fillId="4" fontId="7" numFmtId="3" xfId="0" applyAlignment="1" applyBorder="1" applyFont="1" applyNumberFormat="1">
      <alignment horizontal="right"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59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47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14500" cy="38100"/>
    <xdr:sp>
      <xdr:nvSpPr>
        <xdr:cNvPr id="5" name="Shape 5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685925" cy="38100"/>
    <xdr:sp>
      <xdr:nvSpPr>
        <xdr:cNvPr id="6" name="Shape 6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46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SYAWAL!H42</f>
        <v>322000</v>
      </c>
      <c r="H10" s="39">
        <f>SYAWAL!I42</f>
        <v>395000</v>
      </c>
      <c r="I10" s="40">
        <f t="shared" ref="I10:I21" si="1">IF(OR(G10&lt;&gt;0,H10&lt;&gt;0),SUM(G10:G$11)-SUM(H10:H$11),0)</f>
        <v>-68000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DZULQADAH!G30</f>
        <v>220000</v>
      </c>
      <c r="H11" s="48">
        <f>DZULQADAH!H30</f>
        <v>215000</v>
      </c>
      <c r="I11" s="49">
        <f t="shared" si="1"/>
        <v>5000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DZULHIJJAH!G29</f>
        <v>0</v>
      </c>
      <c r="H12" s="55">
        <f>DZULHIJJAH!H29</f>
        <v>0</v>
      </c>
      <c r="I12" s="40">
        <f t="shared" si="1"/>
        <v>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MOHARROM!G29</f>
        <v>0</v>
      </c>
      <c r="H13" s="57">
        <f>MOHARROM!H29</f>
        <v>0</v>
      </c>
      <c r="I13" s="49">
        <f t="shared" si="1"/>
        <v>0</v>
      </c>
    </row>
    <row r="14">
      <c r="A14" s="33"/>
      <c r="B14" s="50"/>
      <c r="C14" s="58"/>
      <c r="D14" s="59"/>
      <c r="E14" s="53" t="s">
        <v>24</v>
      </c>
      <c r="F14" s="54"/>
      <c r="G14" s="39">
        <f>SHAFAR!G29</f>
        <v>0</v>
      </c>
      <c r="H14" s="39">
        <f>SHAFAR!H29</f>
        <v>0</v>
      </c>
      <c r="I14" s="40">
        <f t="shared" si="1"/>
        <v>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0</v>
      </c>
      <c r="H15" s="47">
        <f>'RABIUL AWAL'!H37</f>
        <v>0</v>
      </c>
      <c r="I15" s="49">
        <f t="shared" si="1"/>
        <v>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TSANI'!G29</f>
        <v>0</v>
      </c>
      <c r="H16" s="55">
        <f>'RABIUL TSANI'!H29</f>
        <v>0</v>
      </c>
      <c r="I16" s="40">
        <f t="shared" si="1"/>
        <v>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ULA'!G29</f>
        <v>0</v>
      </c>
      <c r="H17" s="48">
        <f>'JUM ULA'!H29</f>
        <v>0</v>
      </c>
      <c r="I17" s="49">
        <f t="shared" si="1"/>
        <v>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TSANI'!G29</f>
        <v>1050000</v>
      </c>
      <c r="H18" s="55">
        <f>'JUM TSANI'!H29</f>
        <v>841000</v>
      </c>
      <c r="I18" s="40">
        <f t="shared" si="1"/>
        <v>214000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0</v>
      </c>
      <c r="H19" s="48">
        <f>RAJAB!H29</f>
        <v>0</v>
      </c>
      <c r="I19" s="49">
        <f t="shared" si="1"/>
        <v>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0</v>
      </c>
      <c r="H20" s="55">
        <f>SYABAN!H29</f>
        <v>0</v>
      </c>
      <c r="I20" s="40">
        <f t="shared" si="1"/>
        <v>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0</v>
      </c>
      <c r="H21" s="48">
        <f>RAMADHAN!H30</f>
        <v>0</v>
      </c>
      <c r="I21" s="49">
        <f t="shared" si="1"/>
        <v>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1592000</v>
      </c>
      <c r="H22" s="70">
        <f t="shared" si="2"/>
        <v>1451000</v>
      </c>
      <c r="I22" s="71">
        <f>G22-H22</f>
        <v>141000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141000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141000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141000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 t="s">
        <v>49</v>
      </c>
      <c r="H11" s="96">
        <v>322000.0</v>
      </c>
      <c r="I11" s="96"/>
      <c r="J11" s="40">
        <f t="shared" ref="J11:J41" si="1">IF(OR(H11&lt;&gt;0,I11&lt;&gt;0),SUM(H$11:H11)-SUM(I$11:I11),0)</f>
        <v>322000</v>
      </c>
    </row>
    <row r="12" ht="15.0" customHeight="1">
      <c r="A12" s="56"/>
      <c r="B12" s="97"/>
      <c r="C12" s="98"/>
      <c r="D12" s="99"/>
      <c r="E12" s="100" t="s">
        <v>50</v>
      </c>
      <c r="F12" s="46"/>
      <c r="G12" s="101"/>
      <c r="H12" s="102"/>
      <c r="I12" s="102">
        <v>60000.0</v>
      </c>
      <c r="J12" s="49">
        <f t="shared" si="1"/>
        <v>262000</v>
      </c>
    </row>
    <row r="13" ht="15.0" customHeight="1">
      <c r="A13" s="33"/>
      <c r="B13" s="103"/>
      <c r="C13" s="104"/>
      <c r="D13" s="93"/>
      <c r="E13" s="105" t="s">
        <v>51</v>
      </c>
      <c r="F13" s="54"/>
      <c r="G13" s="106"/>
      <c r="H13" s="96"/>
      <c r="I13" s="96">
        <v>19000.0</v>
      </c>
      <c r="J13" s="40">
        <f t="shared" si="1"/>
        <v>243000</v>
      </c>
    </row>
    <row r="14" ht="15.0" customHeight="1">
      <c r="A14" s="56"/>
      <c r="B14" s="97"/>
      <c r="C14" s="98"/>
      <c r="D14" s="99"/>
      <c r="E14" s="100" t="s">
        <v>52</v>
      </c>
      <c r="F14" s="46"/>
      <c r="G14" s="101"/>
      <c r="H14" s="102"/>
      <c r="I14" s="102">
        <v>50000.0</v>
      </c>
      <c r="J14" s="49">
        <f t="shared" si="1"/>
        <v>193000</v>
      </c>
    </row>
    <row r="15" ht="15.0" customHeight="1">
      <c r="A15" s="33"/>
      <c r="B15" s="103"/>
      <c r="C15" s="104"/>
      <c r="D15" s="93"/>
      <c r="E15" s="105" t="s">
        <v>53</v>
      </c>
      <c r="F15" s="54"/>
      <c r="G15" s="106"/>
      <c r="H15" s="96"/>
      <c r="I15" s="96">
        <v>216000.0</v>
      </c>
      <c r="J15" s="40">
        <f t="shared" si="1"/>
        <v>-23000</v>
      </c>
    </row>
    <row r="16" ht="15.0" customHeight="1">
      <c r="A16" s="56"/>
      <c r="B16" s="107"/>
      <c r="C16" s="108"/>
      <c r="D16" s="99"/>
      <c r="E16" s="100" t="s">
        <v>54</v>
      </c>
      <c r="F16" s="46"/>
      <c r="G16" s="101"/>
      <c r="H16" s="102"/>
      <c r="I16" s="102">
        <v>50000.0</v>
      </c>
      <c r="J16" s="49">
        <f t="shared" si="1"/>
        <v>-73000</v>
      </c>
    </row>
    <row r="17" ht="15.0" customHeight="1">
      <c r="A17" s="33"/>
      <c r="B17" s="103"/>
      <c r="C17" s="109"/>
      <c r="D17" s="110"/>
      <c r="E17" s="105"/>
      <c r="F17" s="54"/>
      <c r="G17" s="106"/>
      <c r="H17" s="96"/>
      <c r="I17" s="55"/>
      <c r="J17" s="40">
        <f t="shared" si="1"/>
        <v>0</v>
      </c>
    </row>
    <row r="18" ht="15.0" customHeight="1">
      <c r="A18" s="56"/>
      <c r="B18" s="97"/>
      <c r="C18" s="111"/>
      <c r="D18" s="112"/>
      <c r="E18" s="100"/>
      <c r="F18" s="46"/>
      <c r="G18" s="101"/>
      <c r="H18" s="102"/>
      <c r="I18" s="48"/>
      <c r="J18" s="49">
        <f t="shared" si="1"/>
        <v>0</v>
      </c>
    </row>
    <row r="19" ht="15.0" customHeight="1">
      <c r="A19" s="33"/>
      <c r="B19" s="103"/>
      <c r="C19" s="109"/>
      <c r="D19" s="110"/>
      <c r="E19" s="105"/>
      <c r="F19" s="54"/>
      <c r="G19" s="106"/>
      <c r="H19" s="96"/>
      <c r="I19" s="55"/>
      <c r="J19" s="40">
        <f t="shared" si="1"/>
        <v>0</v>
      </c>
    </row>
    <row r="20" ht="15.0" customHeight="1">
      <c r="A20" s="56"/>
      <c r="B20" s="97"/>
      <c r="C20" s="113"/>
      <c r="D20" s="62"/>
      <c r="E20" s="45"/>
      <c r="F20" s="46"/>
      <c r="G20" s="114"/>
      <c r="H20" s="57"/>
      <c r="I20" s="48"/>
      <c r="J20" s="49">
        <f t="shared" si="1"/>
        <v>0</v>
      </c>
    </row>
    <row r="21" ht="15.0" customHeight="1">
      <c r="A21" s="33"/>
      <c r="B21" s="103"/>
      <c r="C21" s="115"/>
      <c r="D21" s="52"/>
      <c r="E21" s="53"/>
      <c r="F21" s="54"/>
      <c r="G21" s="116"/>
      <c r="H21" s="117"/>
      <c r="I21" s="55"/>
      <c r="J21" s="40">
        <f t="shared" si="1"/>
        <v>0</v>
      </c>
    </row>
    <row r="22" ht="15.0" customHeight="1">
      <c r="A22" s="56"/>
      <c r="B22" s="97"/>
      <c r="C22" s="113"/>
      <c r="D22" s="62"/>
      <c r="E22" s="45"/>
      <c r="F22" s="46"/>
      <c r="G22" s="114"/>
      <c r="H22" s="57"/>
      <c r="I22" s="48"/>
      <c r="J22" s="49">
        <f t="shared" si="1"/>
        <v>0</v>
      </c>
    </row>
    <row r="23" ht="15.0" customHeight="1">
      <c r="A23" s="33"/>
      <c r="B23" s="103"/>
      <c r="C23" s="115"/>
      <c r="D23" s="52"/>
      <c r="E23" s="118"/>
      <c r="F23" s="119"/>
      <c r="G23" s="119"/>
      <c r="H23" s="117"/>
      <c r="I23" s="55"/>
      <c r="J23" s="40">
        <f t="shared" si="1"/>
        <v>0</v>
      </c>
    </row>
    <row r="24" ht="15.0" customHeight="1">
      <c r="A24" s="56"/>
      <c r="B24" s="97"/>
      <c r="C24" s="113"/>
      <c r="D24" s="62"/>
      <c r="E24" s="120"/>
      <c r="F24" s="121"/>
      <c r="G24" s="121"/>
      <c r="H24" s="48"/>
      <c r="I24" s="48"/>
      <c r="J24" s="49">
        <f t="shared" si="1"/>
        <v>0</v>
      </c>
    </row>
    <row r="25" ht="15.0" customHeight="1">
      <c r="A25" s="33"/>
      <c r="B25" s="103"/>
      <c r="C25" s="115"/>
      <c r="D25" s="52"/>
      <c r="E25" s="118"/>
      <c r="F25" s="119"/>
      <c r="G25" s="122"/>
      <c r="H25" s="117"/>
      <c r="I25" s="117"/>
      <c r="J25" s="40">
        <f t="shared" si="1"/>
        <v>0</v>
      </c>
    </row>
    <row r="26" ht="15.0" customHeight="1">
      <c r="A26" s="56"/>
      <c r="B26" s="97"/>
      <c r="C26" s="113"/>
      <c r="D26" s="62"/>
      <c r="E26" s="123"/>
      <c r="F26" s="121"/>
      <c r="G26" s="124"/>
      <c r="H26" s="57"/>
      <c r="I26" s="57"/>
      <c r="J26" s="49">
        <f t="shared" si="1"/>
        <v>0</v>
      </c>
    </row>
    <row r="27" ht="15.0" customHeight="1">
      <c r="A27" s="33"/>
      <c r="B27" s="103"/>
      <c r="C27" s="115"/>
      <c r="D27" s="52"/>
      <c r="E27" s="125"/>
      <c r="F27" s="119"/>
      <c r="G27" s="122"/>
      <c r="H27" s="117"/>
      <c r="I27" s="117"/>
      <c r="J27" s="40">
        <f t="shared" si="1"/>
        <v>0</v>
      </c>
    </row>
    <row r="28" ht="15.0" customHeight="1">
      <c r="A28" s="56"/>
      <c r="B28" s="97"/>
      <c r="C28" s="113"/>
      <c r="D28" s="62"/>
      <c r="E28" s="126"/>
      <c r="F28" s="121"/>
      <c r="G28" s="124"/>
      <c r="H28" s="48"/>
      <c r="I28" s="57"/>
      <c r="J28" s="49">
        <f t="shared" si="1"/>
        <v>0</v>
      </c>
    </row>
    <row r="29" ht="15.0" customHeight="1">
      <c r="A29" s="33"/>
      <c r="B29" s="103"/>
      <c r="C29" s="115"/>
      <c r="D29" s="52"/>
      <c r="E29" s="125"/>
      <c r="F29" s="127"/>
      <c r="G29" s="122"/>
      <c r="H29" s="55"/>
      <c r="I29" s="117"/>
      <c r="J29" s="40">
        <f t="shared" si="1"/>
        <v>0</v>
      </c>
    </row>
    <row r="30" ht="15.0" customHeight="1">
      <c r="A30" s="56"/>
      <c r="B30" s="97"/>
      <c r="C30" s="113"/>
      <c r="D30" s="62"/>
      <c r="E30" s="126"/>
      <c r="F30" s="128"/>
      <c r="G30" s="124"/>
      <c r="H30" s="48"/>
      <c r="I30" s="57"/>
      <c r="J30" s="49">
        <f t="shared" si="1"/>
        <v>0</v>
      </c>
    </row>
    <row r="31" ht="15.0" customHeight="1">
      <c r="A31" s="33"/>
      <c r="B31" s="103"/>
      <c r="C31" s="115"/>
      <c r="D31" s="52"/>
      <c r="E31" s="118"/>
      <c r="F31" s="122"/>
      <c r="G31" s="122"/>
      <c r="H31" s="55"/>
      <c r="I31" s="117"/>
      <c r="J31" s="40">
        <f t="shared" si="1"/>
        <v>0</v>
      </c>
    </row>
    <row r="32" ht="15.0" customHeight="1">
      <c r="A32" s="56"/>
      <c r="B32" s="97"/>
      <c r="C32" s="113"/>
      <c r="D32" s="62"/>
      <c r="E32" s="129"/>
      <c r="F32" s="130"/>
      <c r="G32" s="121"/>
      <c r="H32" s="48"/>
      <c r="I32" s="48"/>
      <c r="J32" s="49">
        <f t="shared" si="1"/>
        <v>0</v>
      </c>
    </row>
    <row r="33" ht="15.0" customHeight="1">
      <c r="A33" s="33"/>
      <c r="B33" s="103"/>
      <c r="C33" s="115"/>
      <c r="D33" s="52"/>
      <c r="E33" s="118"/>
      <c r="F33" s="119"/>
      <c r="G33" s="122"/>
      <c r="H33" s="55"/>
      <c r="I33" s="117"/>
      <c r="J33" s="40">
        <f t="shared" si="1"/>
        <v>0</v>
      </c>
    </row>
    <row r="34" ht="15.0" customHeight="1">
      <c r="A34" s="56"/>
      <c r="B34" s="97"/>
      <c r="C34" s="113"/>
      <c r="D34" s="62"/>
      <c r="E34" s="129"/>
      <c r="F34" s="121"/>
      <c r="G34" s="121"/>
      <c r="H34" s="48"/>
      <c r="I34" s="48"/>
      <c r="J34" s="49">
        <f t="shared" si="1"/>
        <v>0</v>
      </c>
    </row>
    <row r="35" ht="15.0" customHeight="1">
      <c r="A35" s="33"/>
      <c r="B35" s="103"/>
      <c r="C35" s="115"/>
      <c r="D35" s="52"/>
      <c r="E35" s="118"/>
      <c r="F35" s="119"/>
      <c r="G35" s="119"/>
      <c r="H35" s="55"/>
      <c r="I35" s="117"/>
      <c r="J35" s="40">
        <f t="shared" si="1"/>
        <v>0</v>
      </c>
    </row>
    <row r="36" ht="15.0" customHeight="1">
      <c r="A36" s="56"/>
      <c r="B36" s="97"/>
      <c r="C36" s="113"/>
      <c r="D36" s="62"/>
      <c r="E36" s="123"/>
      <c r="F36" s="121"/>
      <c r="G36" s="121"/>
      <c r="H36" s="48"/>
      <c r="I36" s="57"/>
      <c r="J36" s="49">
        <f t="shared" si="1"/>
        <v>0</v>
      </c>
    </row>
    <row r="37" ht="15.0" customHeight="1">
      <c r="A37" s="33"/>
      <c r="B37" s="103"/>
      <c r="C37" s="115"/>
      <c r="D37" s="52"/>
      <c r="E37" s="118"/>
      <c r="F37" s="119"/>
      <c r="G37" s="119"/>
      <c r="H37" s="55"/>
      <c r="I37" s="117"/>
      <c r="J37" s="40">
        <f t="shared" si="1"/>
        <v>0</v>
      </c>
    </row>
    <row r="38" ht="15.0" customHeight="1">
      <c r="A38" s="56"/>
      <c r="B38" s="97"/>
      <c r="C38" s="113"/>
      <c r="D38" s="62"/>
      <c r="E38" s="131"/>
      <c r="F38" s="121"/>
      <c r="G38" s="121"/>
      <c r="H38" s="48"/>
      <c r="I38" s="48"/>
      <c r="J38" s="49">
        <f t="shared" si="1"/>
        <v>0</v>
      </c>
    </row>
    <row r="39" ht="15.0" customHeight="1">
      <c r="A39" s="33"/>
      <c r="B39" s="103"/>
      <c r="C39" s="115"/>
      <c r="D39" s="52"/>
      <c r="E39" s="132"/>
      <c r="F39" s="119"/>
      <c r="G39" s="119"/>
      <c r="H39" s="55"/>
      <c r="I39" s="55"/>
      <c r="J39" s="40">
        <f t="shared" si="1"/>
        <v>0</v>
      </c>
    </row>
    <row r="40" ht="15.0" customHeight="1">
      <c r="A40" s="56"/>
      <c r="B40" s="97"/>
      <c r="C40" s="113"/>
      <c r="D40" s="62"/>
      <c r="E40" s="131"/>
      <c r="F40" s="121"/>
      <c r="G40" s="121"/>
      <c r="H40" s="48"/>
      <c r="I40" s="48"/>
      <c r="J40" s="49">
        <f t="shared" si="1"/>
        <v>0</v>
      </c>
    </row>
    <row r="41" ht="15.0" customHeight="1">
      <c r="A41" s="33"/>
      <c r="B41" s="103"/>
      <c r="C41" s="115"/>
      <c r="D41" s="52"/>
      <c r="E41" s="132" t="str">
        <f>IFERROR(VLOOKUP(C41,#REF!,2)," ")</f>
        <v> </v>
      </c>
      <c r="F41" s="119"/>
      <c r="G41" s="119"/>
      <c r="H41" s="55"/>
      <c r="I41" s="55"/>
      <c r="J41" s="40">
        <f t="shared" si="1"/>
        <v>0</v>
      </c>
    </row>
    <row r="42" ht="18.0" customHeight="1">
      <c r="A42" s="65"/>
      <c r="B42" s="66"/>
      <c r="C42" s="67"/>
      <c r="D42" s="66"/>
      <c r="E42" s="68"/>
      <c r="F42" s="69"/>
      <c r="G42" s="133"/>
      <c r="H42" s="70">
        <f t="shared" ref="H42:I42" si="2">SUM(H11:H41)</f>
        <v>322000</v>
      </c>
      <c r="I42" s="70">
        <f t="shared" si="2"/>
        <v>395000</v>
      </c>
      <c r="J42" s="71">
        <f>H42-I42</f>
        <v>-73000</v>
      </c>
    </row>
    <row r="43" ht="18.0" customHeight="1">
      <c r="A43" s="72" t="s">
        <v>55</v>
      </c>
      <c r="B43" s="6"/>
      <c r="C43" s="6"/>
      <c r="D43" s="6"/>
      <c r="E43" s="13"/>
      <c r="F43" s="6"/>
      <c r="G43" s="6"/>
      <c r="H43" s="12"/>
      <c r="I43" s="12"/>
      <c r="J43" s="134"/>
    </row>
    <row r="44" ht="15.75" customHeight="1">
      <c r="A44" s="6" t="s">
        <v>33</v>
      </c>
      <c r="B44" s="6"/>
      <c r="C44" s="6"/>
      <c r="D44" s="6"/>
      <c r="E44" s="13"/>
      <c r="F44" s="73">
        <f>+J42</f>
        <v>-73000</v>
      </c>
      <c r="G44" s="73"/>
      <c r="H44" s="12"/>
      <c r="I44" s="12"/>
      <c r="J44" s="12"/>
    </row>
    <row r="45" ht="15.0" customHeight="1">
      <c r="A45" s="4" t="s">
        <v>34</v>
      </c>
      <c r="B45" s="4"/>
      <c r="C45" s="74"/>
      <c r="D45" s="74"/>
      <c r="E45" s="75"/>
      <c r="F45" s="74"/>
      <c r="G45" s="74"/>
      <c r="H45" s="12"/>
      <c r="I45" s="12"/>
      <c r="J45" s="12"/>
    </row>
    <row r="46" ht="15.0" customHeight="1">
      <c r="A46" s="4" t="s">
        <v>35</v>
      </c>
      <c r="B46" s="4"/>
      <c r="C46" s="74"/>
      <c r="D46" s="74"/>
      <c r="E46" s="76"/>
      <c r="F46" s="77"/>
      <c r="G46" s="77"/>
      <c r="H46" s="12"/>
      <c r="I46" s="12"/>
      <c r="J46" s="12"/>
    </row>
    <row r="47" ht="15.0" customHeight="1">
      <c r="A47" s="4" t="s">
        <v>36</v>
      </c>
      <c r="B47" s="4"/>
      <c r="C47" s="74"/>
      <c r="D47" s="74"/>
      <c r="E47" s="78">
        <f>J42-E46</f>
        <v>-73000</v>
      </c>
      <c r="F47" s="77"/>
      <c r="G47" s="77"/>
      <c r="H47" s="12"/>
      <c r="I47" s="12"/>
      <c r="J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-73000</v>
      </c>
      <c r="G48" s="73"/>
      <c r="H48" s="12"/>
      <c r="I48" s="12"/>
      <c r="J48" s="12"/>
    </row>
    <row r="49" ht="10.5" customHeight="1">
      <c r="A49" s="4"/>
      <c r="B49" s="4"/>
      <c r="C49" s="4"/>
      <c r="D49" s="4"/>
      <c r="E49" s="79"/>
      <c r="F49" s="73"/>
      <c r="G49" s="73"/>
      <c r="H49" s="12"/>
      <c r="I49" s="12"/>
      <c r="J49" s="12"/>
    </row>
    <row r="50" ht="13.5" customHeight="1">
      <c r="A50" s="6" t="s">
        <v>38</v>
      </c>
      <c r="B50" s="6"/>
      <c r="C50" s="6"/>
      <c r="D50" s="6"/>
      <c r="E50" s="13"/>
      <c r="F50" s="13"/>
      <c r="G50" s="13"/>
      <c r="H50" s="6"/>
      <c r="I50" s="72" t="s">
        <v>56</v>
      </c>
      <c r="J50" s="12"/>
    </row>
    <row r="51" ht="13.5" customHeight="1">
      <c r="A51" s="72" t="s">
        <v>40</v>
      </c>
      <c r="B51" s="6"/>
      <c r="C51" s="6"/>
      <c r="D51" s="6"/>
      <c r="E51" s="13"/>
      <c r="F51" s="13"/>
      <c r="G51" s="13"/>
      <c r="H51" s="6"/>
      <c r="I51" s="81" t="s">
        <v>57</v>
      </c>
      <c r="J51" s="12"/>
    </row>
    <row r="52" ht="10.5" customHeight="1">
      <c r="A52" s="6"/>
      <c r="B52" s="6"/>
      <c r="C52" s="6"/>
      <c r="D52" s="6"/>
      <c r="E52" s="13"/>
      <c r="F52" s="13"/>
      <c r="G52" s="13"/>
      <c r="H52" s="6"/>
      <c r="I52" s="6"/>
      <c r="J52" s="12"/>
    </row>
    <row r="53" ht="12.0" customHeight="1">
      <c r="A53" s="6"/>
      <c r="B53" s="6"/>
      <c r="C53" s="6"/>
      <c r="D53" s="6"/>
      <c r="E53" s="13"/>
      <c r="F53" s="13"/>
      <c r="G53" s="13"/>
      <c r="H53" s="6"/>
      <c r="I53" s="12"/>
      <c r="J53" s="12"/>
    </row>
    <row r="54" ht="13.5" customHeight="1">
      <c r="A54" s="6"/>
      <c r="B54" s="6"/>
      <c r="C54" s="6"/>
      <c r="D54" s="6"/>
      <c r="E54" s="13"/>
      <c r="F54" s="13"/>
      <c r="G54" s="13"/>
      <c r="H54" s="6"/>
      <c r="I54" s="12"/>
      <c r="J54" s="12"/>
    </row>
    <row r="55" ht="13.5" customHeight="1">
      <c r="A55" s="6"/>
      <c r="B55" s="83"/>
      <c r="C55" s="6"/>
      <c r="D55" s="6"/>
      <c r="E55" s="13"/>
      <c r="F55" s="13"/>
      <c r="G55" s="13"/>
      <c r="H55" s="6"/>
      <c r="I55" s="6"/>
      <c r="J55" s="12"/>
    </row>
    <row r="56" ht="13.5" customHeight="1">
      <c r="A56" s="82" t="s">
        <v>42</v>
      </c>
      <c r="B56" s="74"/>
      <c r="C56" s="74"/>
      <c r="D56" s="6"/>
      <c r="E56" s="13"/>
      <c r="F56" s="13"/>
      <c r="G56" s="13"/>
      <c r="H56" s="6"/>
      <c r="I56" s="82" t="s">
        <v>58</v>
      </c>
      <c r="J56" s="12"/>
    </row>
    <row r="57" ht="18.0" customHeight="1">
      <c r="A57" s="6"/>
      <c r="B57" s="6"/>
      <c r="C57" s="6"/>
      <c r="D57" s="6"/>
      <c r="E57" s="6"/>
      <c r="F57" s="6"/>
      <c r="G57" s="6"/>
      <c r="H57" s="6"/>
      <c r="I57" s="12"/>
      <c r="J57" s="12"/>
    </row>
    <row r="58" ht="18.0" customHeight="1">
      <c r="A58" s="6"/>
      <c r="B58" s="6"/>
      <c r="C58" s="6"/>
      <c r="D58" s="6"/>
      <c r="E58" s="6"/>
      <c r="F58" s="6"/>
      <c r="G58" s="6"/>
      <c r="H58" s="6"/>
      <c r="I58" s="12"/>
      <c r="J58" s="12"/>
    </row>
    <row r="59" ht="15.75" customHeight="1">
      <c r="A59" s="74"/>
      <c r="B59" s="74"/>
      <c r="C59" s="74"/>
      <c r="D59" s="74"/>
      <c r="E59" s="75"/>
      <c r="F59" s="74"/>
      <c r="G59" s="74"/>
      <c r="H59" s="135"/>
      <c r="I59" s="135"/>
      <c r="J59" s="12"/>
    </row>
    <row r="60" ht="13.5" hidden="1" customHeight="1">
      <c r="A60" s="136"/>
      <c r="B60" s="136"/>
      <c r="C60" s="136"/>
      <c r="D60" s="136"/>
      <c r="E60" s="137"/>
      <c r="F60" s="136"/>
      <c r="G60" s="136"/>
      <c r="H60" s="138"/>
      <c r="I60" s="138"/>
      <c r="J60" s="138"/>
    </row>
    <row r="61" ht="13.5" hidden="1" customHeight="1">
      <c r="A61" s="136"/>
      <c r="B61" s="136"/>
      <c r="C61" s="136"/>
      <c r="D61" s="136"/>
      <c r="E61" s="137"/>
      <c r="F61" s="136"/>
      <c r="G61" s="136"/>
      <c r="H61" s="138"/>
      <c r="I61" s="138"/>
      <c r="J61" s="138"/>
    </row>
    <row r="62" ht="13.5" hidden="1" customHeight="1">
      <c r="A62" s="136"/>
      <c r="B62" s="136"/>
      <c r="C62" s="136"/>
      <c r="D62" s="136"/>
      <c r="E62" s="137"/>
      <c r="F62" s="136"/>
      <c r="G62" s="136"/>
      <c r="H62" s="138"/>
      <c r="I62" s="138"/>
      <c r="J62" s="138"/>
    </row>
    <row r="63" ht="13.5" hidden="1" customHeight="1">
      <c r="A63" s="136"/>
      <c r="B63" s="136"/>
      <c r="C63" s="136"/>
      <c r="D63" s="136"/>
      <c r="E63" s="137"/>
      <c r="F63" s="136"/>
      <c r="G63" s="136"/>
      <c r="H63" s="138"/>
      <c r="I63" s="138"/>
      <c r="J63" s="138"/>
    </row>
    <row r="64" ht="13.5" hidden="1" customHeight="1">
      <c r="A64" s="136"/>
      <c r="B64" s="136"/>
      <c r="C64" s="136"/>
      <c r="D64" s="136"/>
      <c r="E64" s="137"/>
      <c r="F64" s="136"/>
      <c r="G64" s="136"/>
      <c r="H64" s="138"/>
      <c r="I64" s="138"/>
      <c r="J64" s="138"/>
    </row>
    <row r="65" ht="13.5" hidden="1" customHeight="1">
      <c r="A65" s="136"/>
      <c r="B65" s="136"/>
      <c r="C65" s="136"/>
      <c r="D65" s="136"/>
      <c r="E65" s="137"/>
      <c r="F65" s="136"/>
      <c r="G65" s="136"/>
      <c r="H65" s="138"/>
      <c r="I65" s="138"/>
      <c r="J65" s="138"/>
    </row>
    <row r="66" ht="13.5" hidden="1" customHeight="1">
      <c r="A66" s="136"/>
      <c r="B66" s="136"/>
      <c r="C66" s="136"/>
      <c r="D66" s="136"/>
      <c r="E66" s="137"/>
      <c r="F66" s="136"/>
      <c r="G66" s="136"/>
      <c r="H66" s="138"/>
      <c r="I66" s="138"/>
      <c r="J66" s="138"/>
    </row>
    <row r="67" ht="13.5" hidden="1" customHeight="1">
      <c r="A67" s="136"/>
      <c r="B67" s="136"/>
      <c r="C67" s="136"/>
      <c r="D67" s="136"/>
      <c r="E67" s="137"/>
      <c r="F67" s="136"/>
      <c r="G67" s="136"/>
      <c r="H67" s="138"/>
      <c r="I67" s="138"/>
      <c r="J67" s="138"/>
    </row>
    <row r="68" ht="13.5" hidden="1" customHeight="1">
      <c r="A68" s="136"/>
      <c r="B68" s="136"/>
      <c r="C68" s="136"/>
      <c r="D68" s="136"/>
      <c r="E68" s="137"/>
      <c r="F68" s="136"/>
      <c r="G68" s="136"/>
      <c r="H68" s="138"/>
      <c r="I68" s="138"/>
      <c r="J68" s="138"/>
    </row>
    <row r="69" ht="13.5" hidden="1" customHeight="1">
      <c r="A69" s="6"/>
      <c r="B69" s="6"/>
      <c r="C69" s="6"/>
      <c r="D69" s="6"/>
      <c r="E69" s="13"/>
      <c r="F69" s="6"/>
      <c r="G69" s="6"/>
      <c r="H69" s="12"/>
      <c r="I69" s="12"/>
      <c r="J69" s="12"/>
    </row>
    <row r="70" ht="18.0" hidden="1" customHeight="1">
      <c r="A70" s="84"/>
    </row>
    <row r="71" ht="15.0" hidden="1" customHeight="1">
      <c r="A71" s="2"/>
    </row>
    <row r="72" ht="13.5" hidden="1" customHeight="1">
      <c r="A72" s="139"/>
      <c r="B72" s="139"/>
      <c r="C72" s="139"/>
      <c r="D72" s="6"/>
      <c r="E72" s="13"/>
      <c r="F72" s="6"/>
      <c r="G72" s="6"/>
      <c r="H72" s="12"/>
      <c r="I72" s="12"/>
      <c r="J72" s="9"/>
    </row>
    <row r="73" ht="13.5" hidden="1" customHeight="1">
      <c r="A73" s="6"/>
      <c r="B73" s="6"/>
      <c r="C73" s="6"/>
      <c r="D73" s="6"/>
      <c r="E73" s="13"/>
      <c r="F73" s="6"/>
      <c r="G73" s="6"/>
      <c r="H73" s="12"/>
      <c r="I73" s="12"/>
    </row>
    <row r="74" ht="13.5" hidden="1" customHeight="1">
      <c r="A74" s="6"/>
      <c r="B74" s="6"/>
      <c r="C74" s="6"/>
      <c r="D74" s="6"/>
      <c r="E74" s="13"/>
      <c r="F74" s="6"/>
      <c r="G74" s="6"/>
      <c r="H74" s="11"/>
      <c r="I74" s="11"/>
      <c r="J74" s="12"/>
    </row>
    <row r="75" ht="14.2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4.25" hidden="1" customHeight="1">
      <c r="A76" s="140"/>
      <c r="B76" s="140"/>
      <c r="C76" s="141"/>
      <c r="D76" s="141"/>
      <c r="E76" s="140"/>
      <c r="G76" s="140"/>
      <c r="H76" s="142"/>
      <c r="I76" s="142"/>
      <c r="J76" s="142"/>
    </row>
    <row r="77" ht="13.5" hidden="1" customHeight="1">
      <c r="B77" s="140"/>
      <c r="G77" s="140"/>
      <c r="H77" s="142"/>
      <c r="I77" s="142"/>
      <c r="J77" s="142"/>
    </row>
    <row r="78" ht="14.25" hidden="1" customHeight="1">
      <c r="A78" s="140"/>
      <c r="B78" s="140"/>
      <c r="C78" s="141"/>
      <c r="D78" s="140"/>
      <c r="E78" s="141"/>
      <c r="G78" s="141"/>
      <c r="H78" s="141"/>
      <c r="I78" s="140"/>
      <c r="J78" s="141"/>
    </row>
    <row r="79" ht="20.25" hidden="1" customHeight="1">
      <c r="A79" s="143"/>
      <c r="B79" s="143"/>
      <c r="C79" s="143"/>
      <c r="D79" s="143"/>
      <c r="E79" s="144"/>
      <c r="F79" s="145"/>
      <c r="G79" s="145"/>
      <c r="H79" s="146"/>
      <c r="I79" s="146"/>
      <c r="J79" s="146"/>
    </row>
    <row r="80" ht="20.25" hidden="1" customHeight="1">
      <c r="A80" s="147"/>
      <c r="B80" s="147"/>
      <c r="C80" s="147"/>
      <c r="D80" s="143"/>
      <c r="E80" s="148"/>
      <c r="F80" s="74"/>
      <c r="G80" s="74"/>
      <c r="H80" s="149"/>
      <c r="I80" s="149"/>
      <c r="J80" s="149"/>
    </row>
    <row r="81" ht="20.25" hidden="1" customHeight="1">
      <c r="A81" s="147"/>
      <c r="B81" s="147"/>
      <c r="C81" s="147"/>
      <c r="D81" s="143"/>
      <c r="E81" s="148"/>
      <c r="F81" s="74"/>
      <c r="G81" s="74"/>
      <c r="H81" s="149"/>
      <c r="I81" s="149"/>
      <c r="J81" s="149"/>
    </row>
    <row r="82" ht="20.25" hidden="1" customHeight="1">
      <c r="A82" s="147"/>
      <c r="B82" s="147"/>
      <c r="C82" s="147"/>
      <c r="D82" s="143"/>
      <c r="E82" s="148"/>
      <c r="F82" s="74"/>
      <c r="G82" s="74"/>
      <c r="H82" s="149"/>
      <c r="I82" s="149"/>
      <c r="J82" s="149"/>
    </row>
    <row r="83" ht="20.25" hidden="1" customHeight="1">
      <c r="A83" s="147"/>
      <c r="B83" s="147"/>
      <c r="C83" s="147"/>
      <c r="D83" s="143"/>
      <c r="E83" s="148"/>
      <c r="F83" s="74"/>
      <c r="G83" s="74"/>
      <c r="H83" s="149"/>
      <c r="I83" s="149"/>
      <c r="J83" s="149"/>
    </row>
    <row r="84" ht="20.25" hidden="1" customHeight="1">
      <c r="A84" s="150"/>
      <c r="B84" s="150"/>
      <c r="C84" s="150"/>
      <c r="D84" s="143"/>
      <c r="E84" s="148"/>
      <c r="F84" s="74"/>
      <c r="G84" s="74"/>
      <c r="H84" s="149"/>
      <c r="I84" s="149"/>
      <c r="J84" s="149"/>
    </row>
    <row r="85" ht="20.25" hidden="1" customHeight="1">
      <c r="A85" s="150"/>
      <c r="B85" s="150"/>
      <c r="C85" s="150"/>
      <c r="D85" s="143"/>
      <c r="E85" s="148"/>
      <c r="F85" s="74"/>
      <c r="G85" s="74"/>
      <c r="H85" s="149"/>
      <c r="I85" s="149"/>
      <c r="J85" s="149"/>
    </row>
    <row r="86" ht="20.25" hidden="1" customHeight="1">
      <c r="A86" s="147"/>
      <c r="B86" s="147"/>
      <c r="C86" s="147"/>
      <c r="D86" s="143"/>
      <c r="E86" s="148"/>
      <c r="F86" s="74"/>
      <c r="G86" s="74"/>
      <c r="H86" s="149"/>
      <c r="I86" s="149"/>
      <c r="J86" s="149"/>
    </row>
    <row r="87" ht="20.25" hidden="1" customHeight="1">
      <c r="A87" s="147"/>
      <c r="B87" s="147"/>
      <c r="C87" s="147"/>
      <c r="D87" s="143"/>
      <c r="E87" s="148"/>
      <c r="F87" s="74"/>
      <c r="G87" s="74"/>
      <c r="H87" s="149"/>
      <c r="I87" s="149"/>
      <c r="J87" s="149"/>
    </row>
    <row r="88" ht="26.25" hidden="1" customHeight="1">
      <c r="A88" s="151"/>
      <c r="B88" s="151"/>
      <c r="C88" s="151"/>
      <c r="D88" s="151"/>
      <c r="E88" s="145"/>
      <c r="G88" s="145"/>
      <c r="H88" s="152"/>
      <c r="I88" s="152"/>
      <c r="J88" s="152"/>
    </row>
    <row r="89" ht="25.5" hidden="1" customHeight="1">
      <c r="A89" s="6"/>
      <c r="B89" s="6"/>
      <c r="C89" s="6"/>
      <c r="D89" s="6"/>
      <c r="E89" s="13"/>
      <c r="F89" s="6"/>
      <c r="G89" s="6"/>
      <c r="H89" s="12"/>
      <c r="I89" s="12"/>
      <c r="J89" s="12"/>
    </row>
    <row r="90" ht="13.5" hidden="1" customHeight="1">
      <c r="A90" s="6"/>
      <c r="B90" s="6"/>
      <c r="C90" s="6"/>
      <c r="D90" s="6"/>
      <c r="E90" s="79"/>
      <c r="F90" s="73"/>
      <c r="G90" s="73"/>
      <c r="H90" s="12"/>
      <c r="I90" s="12"/>
      <c r="J90" s="12"/>
    </row>
    <row r="91" ht="13.5" hidden="1" customHeight="1">
      <c r="A91" s="4"/>
      <c r="B91" s="4"/>
      <c r="C91" s="74"/>
      <c r="D91" s="74"/>
      <c r="E91" s="75"/>
      <c r="F91" s="74"/>
      <c r="G91" s="74"/>
      <c r="H91" s="12"/>
      <c r="I91" s="12"/>
      <c r="J91" s="12"/>
    </row>
    <row r="92" ht="13.5" hidden="1" customHeight="1">
      <c r="A92" s="4"/>
      <c r="B92" s="4"/>
      <c r="C92" s="74"/>
      <c r="D92" s="74"/>
      <c r="E92" s="79"/>
      <c r="F92" s="77"/>
      <c r="G92" s="77"/>
      <c r="H92" s="12"/>
      <c r="I92" s="12"/>
      <c r="J92" s="12"/>
    </row>
    <row r="93" ht="13.5" hidden="1" customHeight="1">
      <c r="A93" s="4"/>
      <c r="B93" s="4"/>
      <c r="C93" s="74"/>
      <c r="D93" s="74"/>
      <c r="E93" s="79"/>
      <c r="F93" s="77"/>
      <c r="G93" s="77"/>
      <c r="H93" s="12"/>
      <c r="I93" s="12"/>
      <c r="J93" s="12"/>
    </row>
    <row r="94" ht="14.25" hidden="1" customHeight="1">
      <c r="A94" s="4"/>
      <c r="B94" s="4"/>
      <c r="C94" s="4"/>
      <c r="D94" s="4"/>
      <c r="E94" s="79"/>
      <c r="F94" s="73"/>
      <c r="G94" s="73"/>
      <c r="H94" s="12"/>
      <c r="I94" s="12"/>
      <c r="J94" s="12"/>
    </row>
    <row r="95" ht="14.25" hidden="1" customHeight="1">
      <c r="A95" s="4"/>
      <c r="B95" s="4"/>
      <c r="C95" s="4"/>
      <c r="D95" s="4"/>
      <c r="E95" s="79"/>
      <c r="F95" s="153"/>
      <c r="G95" s="153"/>
      <c r="H95" s="12"/>
      <c r="I95" s="12"/>
      <c r="J95" s="12"/>
    </row>
    <row r="96" ht="13.5" hidden="1" customHeight="1">
      <c r="A96" s="4"/>
      <c r="B96" s="4"/>
      <c r="C96" s="4"/>
      <c r="D96" s="4"/>
      <c r="E96" s="79"/>
      <c r="F96" s="153"/>
      <c r="G96" s="153"/>
      <c r="H96" s="12"/>
      <c r="I96" s="12"/>
      <c r="J96" s="12"/>
    </row>
    <row r="97" ht="13.5" hidden="1" customHeight="1">
      <c r="A97" s="4"/>
      <c r="B97" s="4"/>
      <c r="C97" s="4"/>
      <c r="D97" s="4"/>
      <c r="E97" s="79"/>
      <c r="F97" s="153"/>
      <c r="G97" s="153"/>
      <c r="H97" s="12"/>
      <c r="I97" s="12"/>
      <c r="J97" s="12"/>
    </row>
    <row r="98" ht="13.5" hidden="1" customHeight="1">
      <c r="A98" s="6"/>
      <c r="B98" s="6"/>
      <c r="C98" s="6"/>
      <c r="D98" s="6"/>
      <c r="E98" s="13"/>
      <c r="F98" s="13"/>
      <c r="G98" s="13"/>
      <c r="H98" s="6"/>
      <c r="I98" s="6"/>
      <c r="J98" s="12"/>
    </row>
    <row r="99" ht="13.5" hidden="1" customHeight="1">
      <c r="A99" s="6"/>
      <c r="B99" s="6"/>
      <c r="C99" s="6"/>
      <c r="D99" s="6"/>
      <c r="E99" s="13"/>
      <c r="F99" s="13"/>
      <c r="G99" s="13"/>
      <c r="H99" s="6"/>
      <c r="I99" s="12"/>
      <c r="J99" s="12"/>
    </row>
    <row r="100" ht="13.5" hidden="1" customHeight="1">
      <c r="A100" s="6"/>
      <c r="B100" s="6"/>
      <c r="C100" s="6"/>
      <c r="D100" s="6"/>
      <c r="E100" s="13"/>
      <c r="F100" s="13"/>
      <c r="G100" s="13"/>
      <c r="H100" s="6"/>
      <c r="I100" s="12"/>
      <c r="J100" s="12"/>
    </row>
    <row r="101" ht="13.5" hidden="1" customHeight="1">
      <c r="A101" s="6"/>
      <c r="B101" s="6"/>
      <c r="C101" s="6"/>
      <c r="D101" s="6"/>
      <c r="E101" s="13"/>
      <c r="F101" s="13"/>
      <c r="G101" s="13"/>
      <c r="H101" s="6"/>
      <c r="I101" s="12"/>
      <c r="J101" s="12"/>
    </row>
    <row r="102" ht="13.5" hidden="1" customHeight="1">
      <c r="A102" s="6"/>
      <c r="B102" s="6"/>
      <c r="C102" s="6"/>
      <c r="D102" s="6"/>
      <c r="E102" s="13"/>
      <c r="F102" s="13"/>
      <c r="G102" s="13"/>
      <c r="H102" s="6"/>
      <c r="I102" s="12"/>
      <c r="J102" s="12"/>
    </row>
    <row r="103" ht="13.5" hidden="1" customHeight="1">
      <c r="A103" s="6"/>
      <c r="B103" s="6"/>
      <c r="C103" s="6"/>
      <c r="D103" s="6"/>
      <c r="E103" s="13"/>
      <c r="F103" s="13"/>
      <c r="G103" s="13"/>
      <c r="H103" s="6"/>
      <c r="I103" s="12"/>
      <c r="J103" s="12"/>
    </row>
    <row r="104" ht="13.5" hidden="1" customHeight="1">
      <c r="A104" s="74"/>
      <c r="B104" s="74"/>
      <c r="C104" s="74"/>
      <c r="D104" s="6"/>
      <c r="E104" s="13"/>
      <c r="F104" s="13"/>
      <c r="G104" s="13"/>
      <c r="H104" s="74"/>
      <c r="I104" s="12"/>
      <c r="J104" s="12"/>
    </row>
    <row r="105" ht="13.5" hidden="1" customHeight="1">
      <c r="A105" s="74"/>
      <c r="B105" s="74"/>
      <c r="C105" s="74"/>
      <c r="D105" s="74"/>
      <c r="E105" s="75"/>
      <c r="F105" s="74"/>
      <c r="G105" s="74"/>
      <c r="H105" s="135"/>
      <c r="I105" s="135"/>
      <c r="J105" s="12"/>
    </row>
    <row r="106" ht="13.5" hidden="1" customHeight="1">
      <c r="A106" s="136"/>
      <c r="B106" s="136"/>
      <c r="C106" s="74"/>
      <c r="D106" s="74"/>
      <c r="E106" s="75"/>
      <c r="F106" s="74"/>
      <c r="G106" s="74"/>
      <c r="H106" s="135"/>
      <c r="I106" s="135"/>
      <c r="J106" s="12"/>
    </row>
    <row r="107" ht="13.5" hidden="1" customHeight="1">
      <c r="A107" s="136"/>
      <c r="B107" s="136"/>
      <c r="C107" s="136"/>
      <c r="D107" s="136"/>
      <c r="E107" s="137"/>
      <c r="F107" s="136"/>
      <c r="G107" s="136"/>
      <c r="H107" s="138"/>
      <c r="I107" s="138"/>
      <c r="J107" s="138"/>
    </row>
    <row r="108" ht="13.5" hidden="1" customHeight="1">
      <c r="A108" s="136"/>
      <c r="B108" s="136"/>
      <c r="C108" s="6"/>
      <c r="D108" s="136"/>
      <c r="E108" s="137"/>
      <c r="F108" s="136"/>
      <c r="G108" s="136"/>
      <c r="H108" s="138"/>
      <c r="I108" s="138"/>
      <c r="J108" s="138"/>
    </row>
    <row r="109" ht="13.5" hidden="1" customHeight="1">
      <c r="A109" s="136"/>
      <c r="B109" s="136"/>
      <c r="C109" s="6"/>
      <c r="D109" s="136"/>
      <c r="E109" s="137"/>
      <c r="F109" s="136"/>
      <c r="G109" s="136"/>
      <c r="H109" s="138"/>
      <c r="I109" s="138"/>
      <c r="J109" s="138"/>
    </row>
    <row r="110" ht="13.5" hidden="1" customHeight="1">
      <c r="A110" s="136"/>
      <c r="B110" s="136"/>
      <c r="C110" s="6"/>
      <c r="D110" s="136"/>
      <c r="E110" s="137"/>
      <c r="F110" s="136"/>
      <c r="G110" s="136"/>
      <c r="H110" s="138"/>
      <c r="I110" s="138"/>
      <c r="J110" s="138"/>
    </row>
    <row r="111" ht="13.5" hidden="1" customHeight="1">
      <c r="A111" s="136"/>
      <c r="B111" s="136"/>
      <c r="C111" s="6"/>
      <c r="D111" s="136"/>
      <c r="E111" s="137"/>
      <c r="F111" s="136"/>
      <c r="G111" s="136"/>
      <c r="H111" s="138"/>
      <c r="I111" s="138"/>
      <c r="J111" s="138"/>
    </row>
    <row r="112" ht="13.5" hidden="1" customHeight="1">
      <c r="A112" s="136"/>
      <c r="B112" s="136"/>
      <c r="C112" s="6"/>
      <c r="D112" s="136"/>
      <c r="E112" s="137"/>
      <c r="F112" s="136"/>
      <c r="G112" s="136"/>
      <c r="H112" s="138"/>
      <c r="I112" s="138"/>
      <c r="J112" s="138"/>
    </row>
    <row r="113" ht="13.5" hidden="1" customHeight="1">
      <c r="A113" s="136"/>
      <c r="B113" s="136"/>
      <c r="C113" s="6"/>
      <c r="D113" s="136"/>
      <c r="E113" s="137"/>
      <c r="F113" s="136"/>
      <c r="G113" s="136"/>
      <c r="H113" s="138"/>
      <c r="I113" s="138"/>
      <c r="J113" s="138"/>
    </row>
    <row r="114" ht="14.25" customHeight="1">
      <c r="A114" s="136"/>
      <c r="B114" s="154"/>
      <c r="D114" s="155"/>
      <c r="E114" s="137"/>
      <c r="F114" s="136"/>
      <c r="G114" s="136"/>
      <c r="H114" s="138"/>
      <c r="I114" s="138"/>
      <c r="J114" s="138"/>
    </row>
    <row r="115" ht="14.25" customHeight="1">
      <c r="A115" s="136"/>
      <c r="B115" s="156"/>
      <c r="D115" s="136"/>
      <c r="E115" s="137"/>
      <c r="F115" s="136"/>
      <c r="G115" s="136"/>
      <c r="H115" s="138"/>
      <c r="I115" s="138"/>
      <c r="J115" s="138"/>
    </row>
    <row r="116" ht="14.25" customHeight="1">
      <c r="A116" s="136"/>
      <c r="B116" s="154"/>
      <c r="D116" s="6"/>
      <c r="E116" s="13"/>
      <c r="F116" s="6"/>
      <c r="G116" s="6"/>
      <c r="H116" s="12"/>
      <c r="I116" s="12"/>
      <c r="J116" s="12"/>
    </row>
    <row r="117" ht="14.25" customHeight="1">
      <c r="A117" s="6"/>
      <c r="B117" s="154"/>
      <c r="D117" s="6"/>
      <c r="E117" s="13"/>
      <c r="F117" s="6"/>
      <c r="G117" s="6"/>
      <c r="H117" s="12"/>
      <c r="I117" s="12"/>
      <c r="J117" s="12"/>
    </row>
    <row r="118" ht="14.25" customHeight="1">
      <c r="A118" s="6"/>
      <c r="B118" s="154"/>
      <c r="D118" s="6"/>
      <c r="E118" s="13"/>
      <c r="F118" s="6"/>
      <c r="G118" s="6"/>
      <c r="H118" s="12"/>
      <c r="I118" s="12"/>
      <c r="J118" s="12"/>
    </row>
    <row r="119" ht="14.25" customHeight="1">
      <c r="A119" s="6"/>
      <c r="B119" s="154"/>
      <c r="D119" s="6"/>
      <c r="E119" s="13"/>
      <c r="F119" s="6"/>
      <c r="G119" s="6"/>
      <c r="H119" s="12"/>
      <c r="I119" s="12"/>
      <c r="J119" s="12"/>
    </row>
    <row r="120" ht="14.25" customHeight="1">
      <c r="A120" s="6"/>
      <c r="B120" s="154"/>
      <c r="D120" s="6"/>
      <c r="E120" s="13"/>
      <c r="F120" s="6"/>
      <c r="G120" s="6"/>
      <c r="H120" s="12"/>
      <c r="I120" s="12"/>
      <c r="J120" s="12"/>
    </row>
    <row r="121" ht="14.25" customHeight="1">
      <c r="A121" s="6"/>
      <c r="B121" s="154"/>
      <c r="D121" s="6"/>
      <c r="E121" s="13"/>
      <c r="F121" s="6"/>
      <c r="G121" s="6"/>
      <c r="H121" s="12"/>
      <c r="I121" s="12"/>
      <c r="J121" s="12"/>
    </row>
    <row r="122" ht="14.25" customHeight="1">
      <c r="A122" s="6"/>
      <c r="B122" s="154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54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54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54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54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6"/>
      <c r="C127" s="6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6"/>
      <c r="C128" s="6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6"/>
      <c r="C129" s="6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6"/>
      <c r="C130" s="6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6"/>
      <c r="C131" s="6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6"/>
      <c r="C132" s="6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</sheetData>
  <mergeCells count="44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42:F42"/>
    <mergeCell ref="A70:J70"/>
    <mergeCell ref="A71:J71"/>
    <mergeCell ref="J72:J73"/>
    <mergeCell ref="A76:A77"/>
    <mergeCell ref="C76:C77"/>
    <mergeCell ref="D76:D77"/>
    <mergeCell ref="E76:F77"/>
    <mergeCell ref="E78:F78"/>
    <mergeCell ref="E88:F88"/>
    <mergeCell ref="B114:C114"/>
    <mergeCell ref="B115:C115"/>
    <mergeCell ref="B116:C116"/>
    <mergeCell ref="B117:C117"/>
    <mergeCell ref="B125:C125"/>
    <mergeCell ref="B126:C126"/>
    <mergeCell ref="B118:C118"/>
    <mergeCell ref="B119:C119"/>
    <mergeCell ref="B120:C120"/>
    <mergeCell ref="B121:C121"/>
    <mergeCell ref="B122:C122"/>
    <mergeCell ref="B123:C123"/>
    <mergeCell ref="B124:C124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59</v>
      </c>
      <c r="F11" s="38"/>
      <c r="G11" s="96">
        <v>220000.0</v>
      </c>
      <c r="H11" s="39"/>
      <c r="I11" s="40">
        <f t="shared" ref="I11:I29" si="1">IF(OR(G11&lt;&gt;0,H11&lt;&gt;0),SUM(G$11:G11)-SUM(H$11:H11),0)</f>
        <v>220000</v>
      </c>
    </row>
    <row r="12" ht="15.0" customHeight="1">
      <c r="A12" s="41"/>
      <c r="B12" s="42"/>
      <c r="C12" s="43"/>
      <c r="D12" s="44"/>
      <c r="E12" s="157" t="s">
        <v>60</v>
      </c>
      <c r="F12" s="46"/>
      <c r="G12" s="158"/>
      <c r="H12" s="158">
        <v>48000.0</v>
      </c>
      <c r="I12" s="49">
        <f t="shared" si="1"/>
        <v>172000</v>
      </c>
    </row>
    <row r="13" ht="15.0" customHeight="1">
      <c r="A13" s="33"/>
      <c r="B13" s="50"/>
      <c r="C13" s="51"/>
      <c r="D13" s="52"/>
      <c r="E13" s="159" t="s">
        <v>61</v>
      </c>
      <c r="F13" s="54"/>
      <c r="G13" s="160"/>
      <c r="H13" s="160">
        <v>155000.0</v>
      </c>
      <c r="I13" s="40">
        <f t="shared" si="1"/>
        <v>17000</v>
      </c>
    </row>
    <row r="14" ht="15.0" customHeight="1">
      <c r="A14" s="56"/>
      <c r="B14" s="42"/>
      <c r="C14" s="43"/>
      <c r="D14" s="44"/>
      <c r="E14" s="157" t="s">
        <v>62</v>
      </c>
      <c r="F14" s="46"/>
      <c r="G14" s="158"/>
      <c r="H14" s="158">
        <v>12000.0</v>
      </c>
      <c r="I14" s="49">
        <f t="shared" si="1"/>
        <v>5000</v>
      </c>
    </row>
    <row r="15" ht="15.0" customHeight="1">
      <c r="A15" s="33"/>
      <c r="B15" s="50"/>
      <c r="C15" s="58"/>
      <c r="D15" s="59"/>
      <c r="E15" s="159"/>
      <c r="F15" s="54"/>
      <c r="G15" s="160"/>
      <c r="H15" s="161"/>
      <c r="I15" s="40">
        <f t="shared" si="1"/>
        <v>0</v>
      </c>
    </row>
    <row r="16" ht="15.0" customHeight="1">
      <c r="A16" s="56"/>
      <c r="B16" s="42"/>
      <c r="C16" s="43"/>
      <c r="D16" s="44"/>
      <c r="E16" s="157"/>
      <c r="F16" s="46"/>
      <c r="G16" s="162"/>
      <c r="H16" s="158"/>
      <c r="I16" s="49">
        <f t="shared" si="1"/>
        <v>0</v>
      </c>
    </row>
    <row r="17" ht="15.0" customHeight="1">
      <c r="A17" s="33"/>
      <c r="B17" s="50"/>
      <c r="C17" s="60"/>
      <c r="D17" s="52"/>
      <c r="E17" s="159"/>
      <c r="F17" s="54"/>
      <c r="G17" s="161"/>
      <c r="H17" s="160"/>
      <c r="I17" s="40">
        <f t="shared" si="1"/>
        <v>0</v>
      </c>
    </row>
    <row r="18" ht="15.0" customHeight="1">
      <c r="A18" s="56"/>
      <c r="B18" s="42"/>
      <c r="C18" s="61"/>
      <c r="D18" s="62"/>
      <c r="E18" s="157"/>
      <c r="F18" s="46"/>
      <c r="G18" s="162"/>
      <c r="H18" s="158"/>
      <c r="I18" s="49">
        <f t="shared" si="1"/>
        <v>0</v>
      </c>
    </row>
    <row r="19" ht="15.0" customHeight="1">
      <c r="A19" s="63"/>
      <c r="B19" s="50"/>
      <c r="C19" s="60"/>
      <c r="D19" s="52"/>
      <c r="E19" s="159"/>
      <c r="F19" s="54"/>
      <c r="G19" s="160"/>
      <c r="H19" s="161"/>
      <c r="I19" s="40">
        <f t="shared" si="1"/>
        <v>0</v>
      </c>
    </row>
    <row r="20" ht="15.0" customHeight="1">
      <c r="A20" s="56"/>
      <c r="B20" s="42"/>
      <c r="C20" s="61"/>
      <c r="D20" s="62"/>
      <c r="E20" s="157"/>
      <c r="F20" s="46"/>
      <c r="G20" s="162"/>
      <c r="H20" s="158"/>
      <c r="I20" s="49">
        <f t="shared" si="1"/>
        <v>0</v>
      </c>
    </row>
    <row r="21" ht="15.0" customHeight="1">
      <c r="A21" s="33"/>
      <c r="B21" s="50"/>
      <c r="C21" s="51"/>
      <c r="D21" s="52"/>
      <c r="E21" s="159"/>
      <c r="F21" s="54"/>
      <c r="G21" s="161"/>
      <c r="H21" s="160"/>
      <c r="I21" s="40">
        <f t="shared" si="1"/>
        <v>0</v>
      </c>
    </row>
    <row r="22" ht="15.0" customHeight="1">
      <c r="A22" s="56"/>
      <c r="B22" s="42"/>
      <c r="C22" s="64"/>
      <c r="D22" s="62"/>
      <c r="E22" s="157"/>
      <c r="F22" s="46"/>
      <c r="G22" s="162"/>
      <c r="H22" s="158"/>
      <c r="I22" s="49">
        <f t="shared" si="1"/>
        <v>0</v>
      </c>
    </row>
    <row r="23" ht="15.0" customHeight="1">
      <c r="A23" s="33"/>
      <c r="B23" s="50"/>
      <c r="C23" s="58"/>
      <c r="D23" s="59"/>
      <c r="E23" s="159"/>
      <c r="F23" s="54"/>
      <c r="G23" s="161"/>
      <c r="H23" s="160"/>
      <c r="I23" s="40">
        <f t="shared" si="1"/>
        <v>0</v>
      </c>
    </row>
    <row r="24" ht="15.0" customHeight="1">
      <c r="A24" s="56"/>
      <c r="B24" s="42"/>
      <c r="C24" s="64"/>
      <c r="D24" s="62"/>
      <c r="E24" s="45"/>
      <c r="F24" s="46"/>
      <c r="G24" s="48"/>
      <c r="H24" s="57"/>
      <c r="I24" s="49">
        <f t="shared" si="1"/>
        <v>0</v>
      </c>
    </row>
    <row r="25" ht="15.0" customHeight="1">
      <c r="A25" s="33"/>
      <c r="B25" s="50"/>
      <c r="C25" s="58"/>
      <c r="D25" s="52"/>
      <c r="E25" s="163" t="str">
        <f t="shared" ref="E25:E29" si="2">IFERROR(VLOOKUP(C25,#REF!,2)," ")</f>
        <v> </v>
      </c>
      <c r="F25" s="54"/>
      <c r="G25" s="39"/>
      <c r="H25" s="55"/>
      <c r="I25" s="40">
        <f t="shared" si="1"/>
        <v>0</v>
      </c>
    </row>
    <row r="26" ht="15.0" customHeight="1">
      <c r="A26" s="56"/>
      <c r="B26" s="42"/>
      <c r="C26" s="43"/>
      <c r="D26" s="62"/>
      <c r="E26" s="164" t="str">
        <f t="shared" si="2"/>
        <v> </v>
      </c>
      <c r="F26" s="46"/>
      <c r="G26" s="47"/>
      <c r="H26" s="47"/>
      <c r="I26" s="49">
        <f t="shared" si="1"/>
        <v>0</v>
      </c>
    </row>
    <row r="27" ht="15.0" customHeight="1">
      <c r="A27" s="33"/>
      <c r="B27" s="50"/>
      <c r="C27" s="58"/>
      <c r="D27" s="52"/>
      <c r="E27" s="163" t="str">
        <f t="shared" si="2"/>
        <v> </v>
      </c>
      <c r="F27" s="54"/>
      <c r="G27" s="39"/>
      <c r="H27" s="55"/>
      <c r="I27" s="40">
        <f t="shared" si="1"/>
        <v>0</v>
      </c>
    </row>
    <row r="28" ht="15.0" customHeight="1">
      <c r="A28" s="56"/>
      <c r="B28" s="42"/>
      <c r="C28" s="43"/>
      <c r="D28" s="62"/>
      <c r="E28" s="131" t="str">
        <f t="shared" si="2"/>
        <v> </v>
      </c>
      <c r="F28" s="165"/>
      <c r="G28" s="47"/>
      <c r="H28" s="47"/>
      <c r="I28" s="49">
        <f t="shared" si="1"/>
        <v>0</v>
      </c>
    </row>
    <row r="29" ht="15.0" customHeight="1">
      <c r="A29" s="33"/>
      <c r="B29" s="50"/>
      <c r="C29" s="51"/>
      <c r="D29" s="52"/>
      <c r="E29" s="132" t="str">
        <f t="shared" si="2"/>
        <v> </v>
      </c>
      <c r="F29" s="119"/>
      <c r="G29" s="117"/>
      <c r="H29" s="55"/>
      <c r="I29" s="166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220000</v>
      </c>
      <c r="H30" s="70">
        <f t="shared" si="3"/>
        <v>215000</v>
      </c>
      <c r="I30" s="71">
        <f>G30-H30</f>
        <v>5000</v>
      </c>
    </row>
    <row r="31" ht="18.0" customHeight="1">
      <c r="A31" s="72" t="s">
        <v>55</v>
      </c>
      <c r="B31" s="6"/>
      <c r="C31" s="6"/>
      <c r="D31" s="6"/>
      <c r="E31" s="13"/>
      <c r="F31" s="6"/>
      <c r="G31" s="12"/>
      <c r="H31" s="12"/>
      <c r="I31" s="12"/>
    </row>
    <row r="32" ht="15.75" customHeight="1">
      <c r="A32" s="6" t="s">
        <v>33</v>
      </c>
      <c r="B32" s="6"/>
      <c r="C32" s="6"/>
      <c r="D32" s="6"/>
      <c r="E32" s="13"/>
      <c r="F32" s="73">
        <f>+I30</f>
        <v>5000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5000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5000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63</v>
      </c>
      <c r="H38" s="12"/>
      <c r="I38" s="12"/>
    </row>
    <row r="39" ht="13.5" customHeight="1">
      <c r="A39" s="72" t="s">
        <v>40</v>
      </c>
      <c r="B39" s="6"/>
      <c r="C39" s="6"/>
      <c r="D39" s="6"/>
      <c r="E39" s="13"/>
      <c r="F39" s="13"/>
      <c r="G39" s="81" t="s">
        <v>57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2" t="s">
        <v>42</v>
      </c>
      <c r="B44" s="83"/>
      <c r="C44" s="6"/>
      <c r="D44" s="6"/>
      <c r="E44" s="13"/>
      <c r="F44" s="13"/>
      <c r="G44" s="82" t="s">
        <v>64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65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66</v>
      </c>
      <c r="E62" s="13"/>
      <c r="F62" s="6"/>
      <c r="G62" s="11"/>
      <c r="H62" s="11" t="s">
        <v>67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68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69</v>
      </c>
      <c r="B67" s="189"/>
      <c r="C67" s="189"/>
      <c r="D67" s="190"/>
      <c r="E67" s="191" t="s">
        <v>70</v>
      </c>
      <c r="F67" s="192"/>
      <c r="G67" s="193">
        <f t="shared" ref="G67:I67" si="4">G30</f>
        <v>220000</v>
      </c>
      <c r="H67" s="193">
        <f t="shared" si="4"/>
        <v>215000</v>
      </c>
      <c r="I67" s="194">
        <f t="shared" si="4"/>
        <v>5000</v>
      </c>
    </row>
    <row r="68" ht="20.25" hidden="1" customHeight="1">
      <c r="A68" s="195" t="s">
        <v>71</v>
      </c>
      <c r="B68" s="196"/>
      <c r="C68" s="196"/>
      <c r="D68" s="190">
        <v>9.0</v>
      </c>
      <c r="E68" s="197" t="s">
        <v>72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71</v>
      </c>
      <c r="B69" s="196"/>
      <c r="C69" s="201"/>
      <c r="D69" s="202">
        <v>10.0</v>
      </c>
      <c r="E69" s="197" t="s">
        <v>73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74</v>
      </c>
      <c r="F76" s="219"/>
      <c r="G76" s="220">
        <f t="shared" ref="G76:H76" si="7">SUM(G67:G75)</f>
        <v>220000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75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76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77</v>
      </c>
      <c r="H86" s="6"/>
      <c r="I86" s="12"/>
    </row>
    <row r="87" ht="13.5" hidden="1" customHeight="1">
      <c r="A87" s="6" t="s">
        <v>78</v>
      </c>
      <c r="B87" s="6"/>
      <c r="C87" s="6"/>
      <c r="D87" s="6"/>
      <c r="E87" s="13"/>
      <c r="F87" s="13"/>
      <c r="G87" s="6" t="s">
        <v>79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80</v>
      </c>
      <c r="B91" s="6"/>
      <c r="C91" s="6"/>
      <c r="D91" s="6"/>
      <c r="E91" s="13"/>
      <c r="F91" s="13"/>
      <c r="G91" s="6" t="s">
        <v>80</v>
      </c>
      <c r="H91" s="12"/>
      <c r="I91" s="12"/>
    </row>
    <row r="92" ht="13.5" hidden="1" customHeight="1">
      <c r="A92" s="74" t="s">
        <v>81</v>
      </c>
      <c r="B92" s="74"/>
      <c r="C92" s="74"/>
      <c r="D92" s="6"/>
      <c r="E92" s="13"/>
      <c r="F92" s="13"/>
      <c r="G92" s="74" t="s">
        <v>81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59:I59"/>
    <mergeCell ref="I60:I61"/>
    <mergeCell ref="A64:A65"/>
    <mergeCell ref="C64:C65"/>
    <mergeCell ref="D64:D65"/>
    <mergeCell ref="E64:F65"/>
    <mergeCell ref="E66:F66"/>
    <mergeCell ref="E76:F76"/>
    <mergeCell ref="E23:F23"/>
    <mergeCell ref="E24:F24"/>
    <mergeCell ref="E25:F25"/>
    <mergeCell ref="E26:F26"/>
    <mergeCell ref="E27:F27"/>
    <mergeCell ref="E30:F30"/>
    <mergeCell ref="A58:I58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82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53" t="s">
        <v>83</v>
      </c>
      <c r="F11" s="54"/>
      <c r="G11" s="39" t="str">
        <f>if(D11=1,DZULHIJJAH!I29,"")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23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39"/>
      <c r="H15" s="117"/>
      <c r="I15" s="40">
        <f t="shared" si="1"/>
        <v>0</v>
      </c>
    </row>
    <row r="16" ht="15.0" customHeight="1">
      <c r="A16" s="56"/>
      <c r="B16" s="107"/>
      <c r="C16" s="64"/>
      <c r="D16" s="62"/>
      <c r="E16" s="224" t="str">
        <f t="shared" ref="E16:E28" si="2">IFERROR(VLOOKUP(C16,#REF!,2)," ")</f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225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1"/>
      <c r="D18" s="62"/>
      <c r="E18" s="224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25" t="str">
        <f t="shared" si="2"/>
        <v> </v>
      </c>
      <c r="F19" s="54"/>
      <c r="G19" s="39"/>
      <c r="H19" s="39"/>
      <c r="I19" s="40">
        <f t="shared" si="1"/>
        <v>0</v>
      </c>
    </row>
    <row r="20" ht="15.0" customHeight="1">
      <c r="A20" s="56"/>
      <c r="B20" s="107"/>
      <c r="C20" s="43"/>
      <c r="D20" s="62"/>
      <c r="E20" s="224" t="str">
        <f t="shared" si="2"/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34"/>
      <c r="C21" s="58"/>
      <c r="D21" s="59"/>
      <c r="E21" s="225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2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25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26"/>
      <c r="B28" s="42"/>
      <c r="C28" s="61"/>
      <c r="D28" s="62"/>
      <c r="E28" s="227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84</v>
      </c>
      <c r="H37" s="12"/>
      <c r="I37" s="12"/>
    </row>
    <row r="38" ht="13.5" customHeight="1">
      <c r="A38" s="6" t="str">
        <f>SHAFAR!A38</f>
        <v>Ketua Yayasan</v>
      </c>
      <c r="B38" s="6"/>
      <c r="C38" s="6"/>
      <c r="D38" s="6"/>
      <c r="E38" s="13"/>
      <c r="F38" s="13"/>
      <c r="G38" s="74" t="str">
        <f>SHAFAR!G38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SHAFAR!A43</f>
        <v>K. KHOIRUS SHOLEH</v>
      </c>
      <c r="B43" s="83"/>
      <c r="C43" s="6"/>
      <c r="D43" s="6"/>
      <c r="E43" s="13"/>
      <c r="F43" s="13"/>
      <c r="G43" s="83" t="str">
        <f>SHAFAR!G43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85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18" t="s">
        <v>86</v>
      </c>
      <c r="F11" s="54"/>
      <c r="G11" s="39" t="str">
        <f>if(D11=1,DZULQADAH!I30,"")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29"/>
      <c r="B12" s="230"/>
      <c r="C12" s="43"/>
      <c r="D12" s="62"/>
      <c r="E12" s="45"/>
      <c r="F12" s="46"/>
      <c r="G12" s="47"/>
      <c r="H12" s="57"/>
      <c r="I12" s="49">
        <f t="shared" si="1"/>
        <v>0</v>
      </c>
    </row>
    <row r="13" ht="15.0" customHeight="1">
      <c r="A13" s="231"/>
      <c r="B13" s="232"/>
      <c r="C13" s="58"/>
      <c r="D13" s="52"/>
      <c r="E13" s="53"/>
      <c r="F13" s="54"/>
      <c r="G13" s="39"/>
      <c r="H13" s="96"/>
      <c r="I13" s="40">
        <f t="shared" si="1"/>
        <v>0</v>
      </c>
    </row>
    <row r="14" ht="15.0" customHeight="1">
      <c r="A14" s="229"/>
      <c r="B14" s="233"/>
      <c r="C14" s="61"/>
      <c r="D14" s="62"/>
      <c r="E14" s="45"/>
      <c r="F14" s="46"/>
      <c r="G14" s="48"/>
      <c r="H14" s="57"/>
      <c r="I14" s="49">
        <f t="shared" si="1"/>
        <v>0</v>
      </c>
    </row>
    <row r="15" ht="15.0" customHeight="1">
      <c r="A15" s="231"/>
      <c r="B15" s="234"/>
      <c r="C15" s="58"/>
      <c r="D15" s="59"/>
      <c r="E15" s="53"/>
      <c r="F15" s="54"/>
      <c r="G15" s="55"/>
      <c r="H15" s="117"/>
      <c r="I15" s="40">
        <f t="shared" si="1"/>
        <v>0</v>
      </c>
    </row>
    <row r="16" ht="15.0" customHeight="1">
      <c r="A16" s="56"/>
      <c r="B16" s="233"/>
      <c r="C16" s="64"/>
      <c r="D16" s="62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50"/>
      <c r="C17" s="58"/>
      <c r="D17" s="59"/>
      <c r="E17" s="53"/>
      <c r="F17" s="54"/>
      <c r="G17" s="117"/>
      <c r="H17" s="55"/>
      <c r="I17" s="40">
        <f t="shared" si="1"/>
        <v>0</v>
      </c>
    </row>
    <row r="18" ht="15.0" customHeight="1">
      <c r="A18" s="56"/>
      <c r="B18" s="42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235"/>
      <c r="B19" s="236"/>
      <c r="C19" s="237"/>
      <c r="D19" s="238"/>
      <c r="E19" s="239"/>
      <c r="F19" s="54"/>
      <c r="G19" s="240"/>
      <c r="H19" s="241"/>
      <c r="I19" s="242">
        <f t="shared" si="1"/>
        <v>0</v>
      </c>
    </row>
    <row r="20" ht="15.0" customHeight="1">
      <c r="A20" s="56"/>
      <c r="B20" s="42"/>
      <c r="C20" s="43"/>
      <c r="D20" s="62"/>
      <c r="E20" s="224" t="str">
        <f t="shared" ref="E20:E28" si="2">IFERROR(VLOOKUP(C20,#REF!,2)," ")</f>
        <v> </v>
      </c>
      <c r="F20" s="46"/>
      <c r="G20" s="47"/>
      <c r="H20" s="48"/>
      <c r="I20" s="49">
        <f t="shared" si="1"/>
        <v>0</v>
      </c>
    </row>
    <row r="21" ht="15.0" customHeight="1">
      <c r="A21" s="33"/>
      <c r="B21" s="50"/>
      <c r="C21" s="58"/>
      <c r="D21" s="52"/>
      <c r="E21" s="225" t="str">
        <f t="shared" si="2"/>
        <v> </v>
      </c>
      <c r="F21" s="54"/>
      <c r="G21" s="39"/>
      <c r="H21" s="39"/>
      <c r="I21" s="40">
        <f t="shared" si="1"/>
        <v>0</v>
      </c>
    </row>
    <row r="22" ht="15.0" customHeight="1">
      <c r="A22" s="56"/>
      <c r="B22" s="42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50"/>
      <c r="C23" s="51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42"/>
      <c r="C24" s="43"/>
      <c r="D24" s="62"/>
      <c r="E24" s="224" t="str">
        <f t="shared" si="2"/>
        <v> </v>
      </c>
      <c r="F24" s="46"/>
      <c r="G24" s="47"/>
      <c r="H24" s="48"/>
      <c r="I24" s="49">
        <f t="shared" si="1"/>
        <v>0</v>
      </c>
    </row>
    <row r="25" ht="15.0" customHeight="1">
      <c r="A25" s="33"/>
      <c r="B25" s="50"/>
      <c r="C25" s="58"/>
      <c r="D25" s="52"/>
      <c r="E25" s="225" t="str">
        <f t="shared" si="2"/>
        <v> </v>
      </c>
      <c r="F25" s="54"/>
      <c r="G25" s="39"/>
      <c r="H25" s="39"/>
      <c r="I25" s="40">
        <f t="shared" si="1"/>
        <v>0</v>
      </c>
    </row>
    <row r="26" ht="15.0" customHeight="1">
      <c r="A26" s="56"/>
      <c r="B26" s="42"/>
      <c r="C26" s="64"/>
      <c r="D26" s="62"/>
      <c r="E26" s="16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50"/>
      <c r="C27" s="51"/>
      <c r="D27" s="52"/>
      <c r="E27" s="163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226"/>
      <c r="B28" s="42"/>
      <c r="C28" s="64"/>
      <c r="D28" s="62"/>
      <c r="E28" s="243" t="str">
        <f t="shared" si="2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87</v>
      </c>
      <c r="H37" s="12"/>
      <c r="I37" s="12"/>
    </row>
    <row r="38" ht="13.5" customHeight="1">
      <c r="A38" s="6" t="str">
        <f>DZULQADAH!A39</f>
        <v>Ketua Yayasan</v>
      </c>
      <c r="B38" s="6"/>
      <c r="C38" s="6"/>
      <c r="D38" s="6"/>
      <c r="E38" s="13"/>
      <c r="F38" s="13"/>
      <c r="G38" s="74" t="str">
        <f>DZULQADAH!G39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DZULQADAH!A44</f>
        <v>K. KHOIRUS SHOLEH</v>
      </c>
      <c r="B43" s="83"/>
      <c r="C43" s="6"/>
      <c r="D43" s="6"/>
      <c r="E43" s="13"/>
      <c r="F43" s="13"/>
      <c r="G43" s="83" t="str">
        <f>DZULQADAH!G44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15.88"/>
    <col customWidth="1" min="6" max="6" width="30.13"/>
    <col customWidth="1" min="7" max="7" width="18.13"/>
    <col customWidth="1" min="8" max="8" width="18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6"/>
      <c r="G4" s="7" t="s">
        <v>4</v>
      </c>
      <c r="H4" s="8" t="s">
        <v>88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4"/>
      <c r="B11" s="34"/>
      <c r="C11" s="35"/>
      <c r="D11" s="36"/>
      <c r="E11" s="118"/>
      <c r="F11" s="54"/>
      <c r="G11" s="39" t="str">
        <f>if(D11=1,MOHARROM!I29,"")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23"/>
      <c r="B12" s="107"/>
      <c r="C12" s="43"/>
      <c r="D12" s="62"/>
      <c r="E12" s="45"/>
      <c r="F12" s="46"/>
      <c r="G12" s="47"/>
      <c r="H12" s="57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96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245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246"/>
      <c r="H15" s="117"/>
      <c r="I15" s="40">
        <f t="shared" si="1"/>
        <v>0</v>
      </c>
    </row>
    <row r="16" ht="15.0" customHeight="1">
      <c r="A16" s="223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1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60"/>
      <c r="D19" s="52"/>
      <c r="E19" s="132"/>
      <c r="F19" s="119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24" t="str">
        <f t="shared" ref="E20:E23" si="2">IFERROR(VLOOKUP(C20,#REF!,2)," ")</f>
        <v> </v>
      </c>
      <c r="F20" s="46"/>
      <c r="G20" s="47"/>
      <c r="H20" s="47"/>
      <c r="I20" s="49">
        <f t="shared" si="1"/>
        <v>0</v>
      </c>
    </row>
    <row r="21" ht="15.0" customHeight="1">
      <c r="A21" s="33"/>
      <c r="B21" s="34"/>
      <c r="C21" s="58"/>
      <c r="D21" s="52"/>
      <c r="E21" s="225" t="str">
        <f t="shared" si="2"/>
        <v> </v>
      </c>
      <c r="F21" s="54"/>
      <c r="G21" s="39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131"/>
      <c r="F24" s="121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ref="E25:E28" si="3">IFERROR(VLOOKUP(C25,#REF!,2)," ")</f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3"/>
        <v> </v>
      </c>
      <c r="F26" s="121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132" t="str">
        <f t="shared" si="3"/>
        <v> </v>
      </c>
      <c r="F27" s="119"/>
      <c r="G27" s="55"/>
      <c r="H27" s="55"/>
      <c r="I27" s="40">
        <f t="shared" si="1"/>
        <v>0</v>
      </c>
    </row>
    <row r="28" ht="15.0" customHeight="1">
      <c r="A28" s="226"/>
      <c r="B28" s="42"/>
      <c r="C28" s="64"/>
      <c r="D28" s="62"/>
      <c r="E28" s="227" t="str">
        <f t="shared" si="3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247">
        <f t="shared" ref="G29:H29" si="4">SUM(G11:G28)</f>
        <v>0</v>
      </c>
      <c r="H29" s="247">
        <f t="shared" si="4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89</v>
      </c>
      <c r="H37" s="12"/>
      <c r="I37" s="12"/>
    </row>
    <row r="38" ht="13.5" customHeight="1">
      <c r="A38" s="6" t="str">
        <f>DZULHIJJAH!A38</f>
        <v>Ketua Yayasan</v>
      </c>
      <c r="B38" s="6"/>
      <c r="C38" s="6"/>
      <c r="D38" s="6"/>
      <c r="E38" s="13"/>
      <c r="F38" s="13"/>
      <c r="G38" s="74" t="str">
        <f>DZULHIJJAH!G38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DZULHIJJAH!A43</f>
        <v>K. KHOIRUS SHOLEH</v>
      </c>
      <c r="B43" s="83"/>
      <c r="C43" s="6"/>
      <c r="D43" s="6"/>
      <c r="E43" s="13"/>
      <c r="F43" s="13"/>
      <c r="G43" s="83" t="str">
        <f>DZULHIJJAH!G43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5">G29</f>
        <v>0</v>
      </c>
      <c r="H66" s="193">
        <f t="shared" si="5"/>
        <v>0</v>
      </c>
      <c r="I66" s="194">
        <f t="shared" si="5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6">#REF!</f>
        <v>#REF!</v>
      </c>
      <c r="I67" s="200" t="str">
        <f t="shared" ref="I67:I68" si="7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6"/>
        <v>#REF!</v>
      </c>
      <c r="I68" s="200" t="str">
        <f t="shared" si="7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8">SUM(G66:G74)</f>
        <v>0</v>
      </c>
      <c r="H75" s="220" t="str">
        <f t="shared" si="8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C63:C64"/>
    <mergeCell ref="D63:D64"/>
    <mergeCell ref="E65:F65"/>
    <mergeCell ref="E75:F75"/>
    <mergeCell ref="E25:F25"/>
    <mergeCell ref="E28:F28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90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91</v>
      </c>
      <c r="F11" s="38"/>
      <c r="G11" s="39"/>
      <c r="H11" s="39"/>
      <c r="I11" s="40">
        <f t="shared" ref="I11:I36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45"/>
      <c r="F14" s="46"/>
      <c r="G14" s="48"/>
      <c r="H14" s="57"/>
      <c r="I14" s="49">
        <f t="shared" si="1"/>
        <v>0</v>
      </c>
    </row>
    <row r="15" ht="15.0" customHeight="1">
      <c r="A15" s="33"/>
      <c r="B15" s="34"/>
      <c r="C15" s="60"/>
      <c r="D15" s="52"/>
      <c r="E15" s="53"/>
      <c r="F15" s="54"/>
      <c r="G15" s="55"/>
      <c r="H15" s="117"/>
      <c r="I15" s="40">
        <f t="shared" si="1"/>
        <v>0</v>
      </c>
    </row>
    <row r="16" ht="15.0" customHeight="1">
      <c r="A16" s="56"/>
      <c r="B16" s="230"/>
      <c r="C16" s="61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53"/>
      <c r="F17" s="54"/>
      <c r="G17" s="117"/>
      <c r="H17" s="117"/>
      <c r="I17" s="40">
        <f t="shared" si="1"/>
        <v>0</v>
      </c>
    </row>
    <row r="18" ht="15.0" customHeight="1">
      <c r="A18" s="56"/>
      <c r="B18" s="107"/>
      <c r="C18" s="43"/>
      <c r="D18" s="44"/>
      <c r="E18" s="45"/>
      <c r="F18" s="46"/>
      <c r="G18" s="57"/>
      <c r="H18" s="57"/>
      <c r="I18" s="49">
        <f t="shared" si="1"/>
        <v>0</v>
      </c>
    </row>
    <row r="19" ht="15.0" customHeight="1">
      <c r="A19" s="33"/>
      <c r="B19" s="34"/>
      <c r="C19" s="5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43"/>
      <c r="D20" s="62"/>
      <c r="E20" s="45"/>
      <c r="F20" s="46"/>
      <c r="G20" s="47"/>
      <c r="H20" s="102"/>
      <c r="I20" s="49">
        <f t="shared" si="1"/>
        <v>0</v>
      </c>
    </row>
    <row r="21" ht="15.0" customHeight="1">
      <c r="A21" s="33"/>
      <c r="B21" s="34"/>
      <c r="C21" s="58"/>
      <c r="D21" s="52"/>
      <c r="E21" s="53"/>
      <c r="F21" s="54"/>
      <c r="G21" s="39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45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53"/>
      <c r="F23" s="54"/>
      <c r="G23" s="55"/>
      <c r="H23" s="117"/>
      <c r="I23" s="40">
        <f t="shared" si="1"/>
        <v>0</v>
      </c>
    </row>
    <row r="24" ht="15.0" customHeight="1">
      <c r="A24" s="56"/>
      <c r="B24" s="248"/>
      <c r="C24" s="43"/>
      <c r="D24" s="62"/>
      <c r="E24" s="45"/>
      <c r="F24" s="46"/>
      <c r="G24" s="57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53"/>
      <c r="F25" s="54"/>
      <c r="G25" s="55"/>
      <c r="H25" s="117"/>
      <c r="I25" s="40">
        <f t="shared" si="1"/>
        <v>0</v>
      </c>
    </row>
    <row r="26" ht="15.0" customHeight="1">
      <c r="A26" s="56"/>
      <c r="B26" s="107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107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107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232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230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107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32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26"/>
      <c r="B36" s="42"/>
      <c r="C36" s="61"/>
      <c r="D36" s="62"/>
      <c r="E36" s="224" t="str">
        <f>IFERROR(VLOOKUP(C36,#REF!,2)," ")</f>
        <v> </v>
      </c>
      <c r="F36" s="249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250"/>
      <c r="F37" s="69"/>
      <c r="G37" s="70">
        <f t="shared" ref="G37:H37" si="2">SUM(G11:G36)</f>
        <v>0</v>
      </c>
      <c r="H37" s="70">
        <f t="shared" si="2"/>
        <v>0</v>
      </c>
      <c r="I37" s="228">
        <f>G37-H37</f>
        <v>0</v>
      </c>
    </row>
    <row r="38" ht="18.0" customHeight="1">
      <c r="A38" s="72" t="s">
        <v>55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92</v>
      </c>
      <c r="H45" s="12"/>
      <c r="I45" s="12"/>
    </row>
    <row r="46" ht="13.5" customHeight="1">
      <c r="A46" s="6" t="str">
        <f>MOHARROM!A38</f>
        <v>Ketua Yayasan</v>
      </c>
      <c r="B46" s="6"/>
      <c r="C46" s="6"/>
      <c r="D46" s="6"/>
      <c r="E46" s="13"/>
      <c r="F46" s="13"/>
      <c r="G46" s="74" t="str">
        <f>MOHARROM!G38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MOHARROM!A43</f>
        <v>K. KHOIRUS SHOLEH</v>
      </c>
      <c r="B51" s="83"/>
      <c r="C51" s="6"/>
      <c r="D51" s="6"/>
      <c r="E51" s="13"/>
      <c r="F51" s="13"/>
      <c r="G51" s="83" t="str">
        <f>MOHARROM!G43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5"/>
      <c r="H53" s="135"/>
      <c r="I53" s="12"/>
    </row>
    <row r="54" ht="15.75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39" t="s">
        <v>65</v>
      </c>
      <c r="B67" s="139"/>
      <c r="C67" s="139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66</v>
      </c>
      <c r="E69" s="13"/>
      <c r="F69" s="6"/>
      <c r="G69" s="11"/>
      <c r="H69" s="11" t="s">
        <v>67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67" t="s">
        <v>68</v>
      </c>
      <c r="B71" s="168"/>
      <c r="C71" s="169" t="s">
        <v>13</v>
      </c>
      <c r="D71" s="169" t="s">
        <v>14</v>
      </c>
      <c r="E71" s="170" t="s">
        <v>15</v>
      </c>
      <c r="F71" s="171"/>
      <c r="G71" s="172" t="s">
        <v>16</v>
      </c>
      <c r="H71" s="172" t="s">
        <v>17</v>
      </c>
      <c r="I71" s="173" t="s">
        <v>18</v>
      </c>
    </row>
    <row r="72" ht="13.5" hidden="1" customHeight="1">
      <c r="A72" s="174"/>
      <c r="B72" s="175"/>
      <c r="C72" s="176"/>
      <c r="D72" s="176"/>
      <c r="E72" s="177"/>
      <c r="F72" s="178"/>
      <c r="G72" s="179" t="s">
        <v>19</v>
      </c>
      <c r="H72" s="179" t="s">
        <v>19</v>
      </c>
      <c r="I72" s="180" t="s">
        <v>19</v>
      </c>
    </row>
    <row r="73" ht="14.25" hidden="1" customHeight="1">
      <c r="A73" s="181">
        <v>1.0</v>
      </c>
      <c r="B73" s="182"/>
      <c r="C73" s="183">
        <v>2.0</v>
      </c>
      <c r="D73" s="184">
        <v>3.0</v>
      </c>
      <c r="E73" s="185">
        <v>4.0</v>
      </c>
      <c r="F73" s="186"/>
      <c r="G73" s="183">
        <v>5.0</v>
      </c>
      <c r="H73" s="184">
        <v>6.0</v>
      </c>
      <c r="I73" s="187">
        <v>7.0</v>
      </c>
    </row>
    <row r="74" ht="20.25" hidden="1" customHeight="1">
      <c r="A74" s="188" t="s">
        <v>69</v>
      </c>
      <c r="B74" s="189"/>
      <c r="C74" s="189"/>
      <c r="D74" s="190"/>
      <c r="E74" s="191" t="s">
        <v>70</v>
      </c>
      <c r="F74" s="192"/>
      <c r="G74" s="193">
        <f t="shared" ref="G74:I74" si="3">G37</f>
        <v>0</v>
      </c>
      <c r="H74" s="193">
        <f t="shared" si="3"/>
        <v>0</v>
      </c>
      <c r="I74" s="194">
        <f t="shared" si="3"/>
        <v>0</v>
      </c>
    </row>
    <row r="75" ht="20.25" hidden="1" customHeight="1">
      <c r="A75" s="195" t="s">
        <v>71</v>
      </c>
      <c r="B75" s="196"/>
      <c r="C75" s="196"/>
      <c r="D75" s="190">
        <v>9.0</v>
      </c>
      <c r="E75" s="197" t="s">
        <v>72</v>
      </c>
      <c r="F75" s="198"/>
      <c r="G75" s="199"/>
      <c r="H75" s="199" t="str">
        <f t="shared" ref="H75:H76" si="4">#REF!</f>
        <v>#REF!</v>
      </c>
      <c r="I75" s="200" t="str">
        <f t="shared" ref="I75:I76" si="5">I74-H75</f>
        <v>#REF!</v>
      </c>
    </row>
    <row r="76" ht="20.25" hidden="1" customHeight="1">
      <c r="A76" s="195" t="s">
        <v>71</v>
      </c>
      <c r="B76" s="196"/>
      <c r="C76" s="201"/>
      <c r="D76" s="202">
        <v>10.0</v>
      </c>
      <c r="E76" s="197" t="s">
        <v>73</v>
      </c>
      <c r="F76" s="203"/>
      <c r="G76" s="204"/>
      <c r="H76" s="204" t="str">
        <f t="shared" si="4"/>
        <v>#REF!</v>
      </c>
      <c r="I76" s="200" t="str">
        <f t="shared" si="5"/>
        <v>#REF!</v>
      </c>
    </row>
    <row r="77" ht="20.25" hidden="1" customHeight="1">
      <c r="A77" s="205"/>
      <c r="B77" s="201"/>
      <c r="C77" s="201"/>
      <c r="D77" s="202"/>
      <c r="E77" s="197"/>
      <c r="F77" s="203"/>
      <c r="G77" s="204"/>
      <c r="H77" s="204"/>
      <c r="I77" s="206"/>
    </row>
    <row r="78" ht="20.25" hidden="1" customHeight="1">
      <c r="A78" s="205"/>
      <c r="B78" s="201"/>
      <c r="C78" s="201"/>
      <c r="D78" s="202"/>
      <c r="E78" s="197"/>
      <c r="F78" s="203"/>
      <c r="G78" s="204"/>
      <c r="H78" s="204"/>
      <c r="I78" s="206"/>
    </row>
    <row r="79" ht="20.25" hidden="1" customHeight="1">
      <c r="A79" s="207"/>
      <c r="B79" s="208"/>
      <c r="C79" s="209"/>
      <c r="D79" s="202"/>
      <c r="E79" s="197"/>
      <c r="F79" s="203"/>
      <c r="G79" s="199"/>
      <c r="H79" s="199"/>
      <c r="I79" s="206"/>
    </row>
    <row r="80" ht="20.25" hidden="1" customHeight="1">
      <c r="A80" s="207"/>
      <c r="B80" s="208"/>
      <c r="C80" s="209"/>
      <c r="D80" s="202"/>
      <c r="E80" s="197"/>
      <c r="F80" s="203"/>
      <c r="G80" s="199"/>
      <c r="H80" s="199"/>
      <c r="I80" s="206"/>
    </row>
    <row r="81" ht="20.25" hidden="1" customHeight="1">
      <c r="A81" s="205"/>
      <c r="B81" s="201"/>
      <c r="C81" s="201"/>
      <c r="D81" s="202"/>
      <c r="E81" s="197"/>
      <c r="F81" s="203"/>
      <c r="G81" s="199"/>
      <c r="H81" s="199"/>
      <c r="I81" s="206"/>
    </row>
    <row r="82" ht="20.25" hidden="1" customHeight="1">
      <c r="A82" s="205"/>
      <c r="B82" s="210"/>
      <c r="C82" s="210"/>
      <c r="D82" s="211"/>
      <c r="E82" s="212"/>
      <c r="F82" s="213"/>
      <c r="G82" s="199"/>
      <c r="H82" s="199"/>
      <c r="I82" s="206"/>
    </row>
    <row r="83" ht="26.25" hidden="1" customHeight="1">
      <c r="A83" s="214"/>
      <c r="B83" s="215"/>
      <c r="C83" s="216"/>
      <c r="D83" s="217"/>
      <c r="E83" s="218" t="s">
        <v>74</v>
      </c>
      <c r="F83" s="219"/>
      <c r="G83" s="220">
        <f t="shared" ref="G83:H83" si="6">SUM(G74:G82)</f>
        <v>0</v>
      </c>
      <c r="H83" s="220" t="str">
        <f t="shared" si="6"/>
        <v>#REF!</v>
      </c>
      <c r="I83" s="221" t="str">
        <f>+G83-H83</f>
        <v>#REF!</v>
      </c>
    </row>
    <row r="84" ht="25.5" hidden="1" customHeight="1">
      <c r="A84" s="6" t="s">
        <v>75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76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22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3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3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3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77</v>
      </c>
      <c r="H93" s="6"/>
      <c r="I93" s="12"/>
    </row>
    <row r="94" ht="13.5" hidden="1" customHeight="1">
      <c r="A94" s="6" t="s">
        <v>78</v>
      </c>
      <c r="B94" s="6"/>
      <c r="C94" s="6"/>
      <c r="D94" s="6"/>
      <c r="E94" s="13"/>
      <c r="F94" s="13"/>
      <c r="G94" s="6" t="s">
        <v>79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80</v>
      </c>
      <c r="B98" s="6"/>
      <c r="C98" s="6"/>
      <c r="D98" s="6"/>
      <c r="E98" s="13"/>
      <c r="F98" s="13"/>
      <c r="G98" s="6" t="s">
        <v>80</v>
      </c>
      <c r="H98" s="12"/>
      <c r="I98" s="12"/>
    </row>
    <row r="99" ht="13.5" hidden="1" customHeight="1">
      <c r="A99" s="74" t="s">
        <v>81</v>
      </c>
      <c r="B99" s="74"/>
      <c r="C99" s="74"/>
      <c r="D99" s="6"/>
      <c r="E99" s="13"/>
      <c r="F99" s="13"/>
      <c r="G99" s="74" t="s">
        <v>81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5"/>
      <c r="H100" s="135"/>
      <c r="I100" s="12"/>
    </row>
    <row r="101" ht="13.5" hidden="1" customHeight="1">
      <c r="A101" s="136"/>
      <c r="B101" s="136"/>
      <c r="C101" s="74"/>
      <c r="D101" s="74"/>
      <c r="E101" s="75"/>
      <c r="F101" s="74"/>
      <c r="G101" s="135"/>
      <c r="H101" s="135"/>
      <c r="I101" s="12"/>
    </row>
    <row r="102" ht="13.5" hidden="1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3.5" hidden="1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3.5" hidden="1" customHeight="1">
      <c r="A105" s="136"/>
      <c r="B105" s="136"/>
      <c r="C105" s="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4.25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4.25" customHeight="1">
      <c r="A110" s="136"/>
      <c r="B110" s="136"/>
      <c r="C110" s="136"/>
      <c r="D110" s="136"/>
      <c r="E110" s="137"/>
      <c r="F110" s="136"/>
      <c r="G110" s="138"/>
      <c r="H110" s="138"/>
      <c r="I110" s="138"/>
    </row>
    <row r="111" ht="14.25" customHeight="1">
      <c r="A111" s="136"/>
      <c r="B111" s="13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7:F37"/>
    <mergeCell ref="E73:F73"/>
    <mergeCell ref="E83:F83"/>
    <mergeCell ref="A65:I65"/>
    <mergeCell ref="A66:I66"/>
    <mergeCell ref="I67:I68"/>
    <mergeCell ref="A71:A72"/>
    <mergeCell ref="C71:C72"/>
    <mergeCell ref="D71:D72"/>
    <mergeCell ref="E71:F72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93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251"/>
      <c r="D11" s="252"/>
      <c r="E11" s="37" t="s">
        <v>94</v>
      </c>
      <c r="F11" s="38"/>
      <c r="G11" s="39" t="str">
        <f>if(D11=1,'RABIUL AWAL'!I37,"")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253"/>
      <c r="C12" s="254"/>
      <c r="D12" s="255"/>
      <c r="E12" s="256"/>
      <c r="F12" s="46"/>
      <c r="G12" s="257"/>
      <c r="H12" s="258"/>
      <c r="I12" s="49">
        <f t="shared" si="1"/>
        <v>0</v>
      </c>
    </row>
    <row r="13" ht="15.0" customHeight="1">
      <c r="A13" s="33"/>
      <c r="B13" s="259"/>
      <c r="C13" s="260"/>
      <c r="D13" s="261"/>
      <c r="E13" s="262"/>
      <c r="F13" s="54"/>
      <c r="G13" s="263"/>
      <c r="H13" s="264"/>
      <c r="I13" s="40">
        <f t="shared" si="1"/>
        <v>0</v>
      </c>
    </row>
    <row r="14" ht="15.0" customHeight="1">
      <c r="A14" s="56"/>
      <c r="B14" s="265"/>
      <c r="C14" s="254"/>
      <c r="D14" s="255"/>
      <c r="E14" s="256"/>
      <c r="F14" s="46"/>
      <c r="G14" s="257"/>
      <c r="H14" s="258"/>
      <c r="I14" s="49">
        <f t="shared" si="1"/>
        <v>0</v>
      </c>
    </row>
    <row r="15" ht="15.0" customHeight="1">
      <c r="A15" s="33"/>
      <c r="B15" s="266"/>
      <c r="C15" s="260"/>
      <c r="D15" s="261"/>
      <c r="E15" s="262"/>
      <c r="F15" s="54"/>
      <c r="G15" s="263"/>
      <c r="H15" s="264"/>
      <c r="I15" s="40">
        <f t="shared" si="1"/>
        <v>0</v>
      </c>
    </row>
    <row r="16" ht="15.0" customHeight="1">
      <c r="A16" s="56"/>
      <c r="B16" s="253"/>
      <c r="C16" s="254"/>
      <c r="D16" s="255"/>
      <c r="E16" s="256"/>
      <c r="F16" s="46"/>
      <c r="G16" s="257"/>
      <c r="H16" s="267"/>
      <c r="I16" s="49">
        <f t="shared" si="1"/>
        <v>0</v>
      </c>
    </row>
    <row r="17" ht="15.0" customHeight="1">
      <c r="A17" s="33"/>
      <c r="B17" s="266"/>
      <c r="C17" s="260"/>
      <c r="D17" s="261"/>
      <c r="E17" s="262"/>
      <c r="F17" s="54"/>
      <c r="G17" s="263"/>
      <c r="H17" s="264"/>
      <c r="I17" s="40">
        <f t="shared" si="1"/>
        <v>0</v>
      </c>
    </row>
    <row r="18" ht="15.0" customHeight="1">
      <c r="A18" s="56"/>
      <c r="B18" s="107"/>
      <c r="C18" s="268"/>
      <c r="D18" s="269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270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271"/>
      <c r="D20" s="62"/>
      <c r="E20" s="224" t="str">
        <f t="shared" ref="E20:E28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270"/>
      <c r="D21" s="52"/>
      <c r="E21" s="225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272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270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271"/>
      <c r="D24" s="62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273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24" t="str">
        <f t="shared" si="2"/>
        <v> </v>
      </c>
      <c r="F26" s="249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25" t="str">
        <f t="shared" si="2"/>
        <v> </v>
      </c>
      <c r="F27" s="273"/>
      <c r="G27" s="55"/>
      <c r="H27" s="55"/>
      <c r="I27" s="40">
        <f t="shared" si="1"/>
        <v>0</v>
      </c>
    </row>
    <row r="28" ht="15.0" customHeight="1">
      <c r="A28" s="226"/>
      <c r="B28" s="42"/>
      <c r="C28" s="61"/>
      <c r="D28" s="62"/>
      <c r="E28" s="224" t="str">
        <f t="shared" si="2"/>
        <v> </v>
      </c>
      <c r="F28" s="249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95</v>
      </c>
      <c r="H37" s="12"/>
      <c r="I37" s="12"/>
    </row>
    <row r="38" ht="13.5" customHeight="1">
      <c r="A38" s="6" t="str">
        <f>'RABIUL AWAL'!A46</f>
        <v>Ketua Yayasan</v>
      </c>
      <c r="B38" s="6"/>
      <c r="C38" s="6"/>
      <c r="D38" s="6"/>
      <c r="E38" s="13"/>
      <c r="F38" s="13"/>
      <c r="G38" s="74" t="str">
        <f>'RABIUL AWAL'!G46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AWAL'!A51</f>
        <v>K. KHOIRUS SHOLEH</v>
      </c>
      <c r="B43" s="83"/>
      <c r="C43" s="6"/>
      <c r="D43" s="6"/>
      <c r="E43" s="13"/>
      <c r="F43" s="13"/>
      <c r="G43" s="83" t="str">
        <f>'RABIUL AWAL'!G51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C63:C64"/>
    <mergeCell ref="D63:D64"/>
    <mergeCell ref="E65:F65"/>
    <mergeCell ref="E75:F75"/>
    <mergeCell ref="E23:F23"/>
    <mergeCell ref="E24:F24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96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97</v>
      </c>
      <c r="F11" s="38"/>
      <c r="G11" s="39" t="str">
        <f>if(D11=1,'RABIUL TSANI'!I29,"")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223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224"/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8"/>
      <c r="D15" s="52"/>
      <c r="E15" s="225" t="str">
        <f t="shared" ref="E15:E28" si="2">IFERROR(VLOOKUP(C15,#REF!,2)," ")</f>
        <v> </v>
      </c>
      <c r="F15" s="54"/>
      <c r="G15" s="39"/>
      <c r="H15" s="39"/>
      <c r="I15" s="40">
        <f t="shared" si="1"/>
        <v>0</v>
      </c>
    </row>
    <row r="16" ht="15.0" customHeight="1">
      <c r="A16" s="56"/>
      <c r="B16" s="107"/>
      <c r="C16" s="43"/>
      <c r="D16" s="44"/>
      <c r="E16" s="224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25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43"/>
      <c r="D18" s="62"/>
      <c r="E18" s="224" t="str">
        <f t="shared" si="2"/>
        <v> </v>
      </c>
      <c r="F18" s="46"/>
      <c r="G18" s="47"/>
      <c r="H18" s="48"/>
      <c r="I18" s="49">
        <f t="shared" si="1"/>
        <v>0</v>
      </c>
    </row>
    <row r="19" ht="15.0" customHeight="1">
      <c r="A19" s="33"/>
      <c r="B19" s="34"/>
      <c r="C19" s="58"/>
      <c r="D19" s="52"/>
      <c r="E19" s="225" t="str">
        <f t="shared" si="2"/>
        <v> </v>
      </c>
      <c r="F19" s="54"/>
      <c r="G19" s="39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24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60"/>
      <c r="D21" s="52"/>
      <c r="E21" s="225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24" t="str">
        <f t="shared" si="2"/>
        <v> </v>
      </c>
      <c r="F26" s="249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25" t="str">
        <f t="shared" si="2"/>
        <v> </v>
      </c>
      <c r="F27" s="273"/>
      <c r="G27" s="55"/>
      <c r="H27" s="55"/>
      <c r="I27" s="40">
        <f t="shared" si="1"/>
        <v>0</v>
      </c>
    </row>
    <row r="28" ht="15.0" customHeight="1">
      <c r="A28" s="226"/>
      <c r="B28" s="42"/>
      <c r="C28" s="61"/>
      <c r="D28" s="62"/>
      <c r="E28" s="224" t="str">
        <f t="shared" si="2"/>
        <v> </v>
      </c>
      <c r="F28" s="249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98</v>
      </c>
      <c r="H37" s="12"/>
      <c r="I37" s="12"/>
    </row>
    <row r="38" ht="13.5" customHeight="1">
      <c r="A38" s="6" t="str">
        <f>'RABIUL TSANI'!A38</f>
        <v>Ketua Yayasan</v>
      </c>
      <c r="B38" s="6"/>
      <c r="C38" s="6"/>
      <c r="D38" s="6"/>
      <c r="E38" s="13"/>
      <c r="F38" s="13"/>
      <c r="G38" s="74" t="str">
        <f>'RABIUL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TSANI'!A43</f>
        <v>K. KHOIRUS SHOLEH</v>
      </c>
      <c r="B43" s="83"/>
      <c r="C43" s="6"/>
      <c r="D43" s="6"/>
      <c r="E43" s="13"/>
      <c r="F43" s="13"/>
      <c r="G43" s="83" t="str">
        <f>'RABIUL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63:A64"/>
    <mergeCell ref="C63:C64"/>
    <mergeCell ref="D63:D64"/>
    <mergeCell ref="E63:F64"/>
    <mergeCell ref="E65:F65"/>
    <mergeCell ref="E75:F75"/>
    <mergeCell ref="E23:F23"/>
    <mergeCell ref="E24:F24"/>
    <mergeCell ref="E25:F25"/>
    <mergeCell ref="E29:F29"/>
    <mergeCell ref="A57:I57"/>
    <mergeCell ref="A58:I58"/>
    <mergeCell ref="I59:I60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7" width="18.38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 t="s">
        <v>4</v>
      </c>
      <c r="H4" s="8" t="s">
        <v>99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18"/>
      <c r="F11" s="54"/>
      <c r="G11" s="39">
        <f>if(D11=1,'JUM ULA'!I29,"")</f>
        <v>0</v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 t="s">
        <v>100</v>
      </c>
      <c r="F12" s="46"/>
      <c r="G12" s="102">
        <v>1050000.0</v>
      </c>
      <c r="H12" s="47"/>
      <c r="I12" s="49">
        <f t="shared" si="1"/>
        <v>1050000</v>
      </c>
    </row>
    <row r="13" ht="15.0" customHeight="1">
      <c r="A13" s="33"/>
      <c r="B13" s="34"/>
      <c r="C13" s="58"/>
      <c r="D13" s="52"/>
      <c r="E13" s="225" t="str">
        <f>IFERROR(VLOOKUP(C13,#REF!,2)," ")</f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43"/>
      <c r="D14" s="44"/>
      <c r="E14" s="45" t="s">
        <v>101</v>
      </c>
      <c r="F14" s="46"/>
      <c r="G14" s="48"/>
      <c r="H14" s="57">
        <v>40000.0</v>
      </c>
      <c r="I14" s="49">
        <f t="shared" si="1"/>
        <v>1010000</v>
      </c>
    </row>
    <row r="15" ht="15.0" customHeight="1">
      <c r="A15" s="33"/>
      <c r="B15" s="34"/>
      <c r="C15" s="270"/>
      <c r="D15" s="52"/>
      <c r="E15" s="53" t="s">
        <v>102</v>
      </c>
      <c r="F15" s="54"/>
      <c r="G15" s="55"/>
      <c r="H15" s="117">
        <v>26000.0</v>
      </c>
      <c r="I15" s="40">
        <f t="shared" si="1"/>
        <v>984000</v>
      </c>
    </row>
    <row r="16" ht="15.0" customHeight="1">
      <c r="A16" s="56"/>
      <c r="B16" s="107"/>
      <c r="C16" s="43"/>
      <c r="D16" s="62"/>
      <c r="E16" s="45" t="s">
        <v>103</v>
      </c>
      <c r="F16" s="46"/>
      <c r="G16" s="47"/>
      <c r="H16" s="102">
        <v>50000.0</v>
      </c>
      <c r="I16" s="49">
        <f t="shared" si="1"/>
        <v>934000</v>
      </c>
    </row>
    <row r="17" ht="15.0" customHeight="1">
      <c r="A17" s="33"/>
      <c r="B17" s="34"/>
      <c r="C17" s="58"/>
      <c r="D17" s="52"/>
      <c r="E17" s="53" t="s">
        <v>104</v>
      </c>
      <c r="F17" s="54"/>
      <c r="G17" s="39"/>
      <c r="H17" s="117">
        <v>55000.0</v>
      </c>
      <c r="I17" s="40">
        <f t="shared" si="1"/>
        <v>879000</v>
      </c>
    </row>
    <row r="18" ht="15.0" customHeight="1">
      <c r="A18" s="56"/>
      <c r="B18" s="107"/>
      <c r="C18" s="61"/>
      <c r="D18" s="62"/>
      <c r="E18" s="45" t="s">
        <v>105</v>
      </c>
      <c r="F18" s="46"/>
      <c r="G18" s="48"/>
      <c r="H18" s="57">
        <v>20000.0</v>
      </c>
      <c r="I18" s="49">
        <f t="shared" si="1"/>
        <v>859000</v>
      </c>
    </row>
    <row r="19" ht="15.0" customHeight="1">
      <c r="A19" s="33"/>
      <c r="B19" s="34"/>
      <c r="C19" s="51"/>
      <c r="D19" s="52"/>
      <c r="E19" s="53" t="s">
        <v>106</v>
      </c>
      <c r="F19" s="54"/>
      <c r="G19" s="55"/>
      <c r="H19" s="117">
        <v>50000.0</v>
      </c>
      <c r="I19" s="40">
        <f t="shared" si="1"/>
        <v>809000</v>
      </c>
    </row>
    <row r="20" ht="15.0" customHeight="1">
      <c r="A20" s="56"/>
      <c r="B20" s="107"/>
      <c r="C20" s="43"/>
      <c r="D20" s="62"/>
      <c r="E20" s="45" t="s">
        <v>107</v>
      </c>
      <c r="F20" s="46"/>
      <c r="G20" s="48"/>
      <c r="H20" s="57">
        <v>400000.0</v>
      </c>
      <c r="I20" s="49">
        <f t="shared" si="1"/>
        <v>409000</v>
      </c>
    </row>
    <row r="21" ht="15.0" customHeight="1">
      <c r="A21" s="33"/>
      <c r="B21" s="34"/>
      <c r="C21" s="58"/>
      <c r="D21" s="59"/>
      <c r="E21" s="53" t="s">
        <v>108</v>
      </c>
      <c r="F21" s="54"/>
      <c r="G21" s="55"/>
      <c r="H21" s="117">
        <v>100000.0</v>
      </c>
      <c r="I21" s="40">
        <f t="shared" si="1"/>
        <v>309000</v>
      </c>
    </row>
    <row r="22" ht="15.0" customHeight="1">
      <c r="A22" s="56"/>
      <c r="B22" s="107"/>
      <c r="C22" s="64"/>
      <c r="D22" s="62"/>
      <c r="E22" s="45" t="s">
        <v>109</v>
      </c>
      <c r="F22" s="46"/>
      <c r="G22" s="48"/>
      <c r="H22" s="57">
        <v>50000.0</v>
      </c>
      <c r="I22" s="49">
        <f t="shared" si="1"/>
        <v>259000</v>
      </c>
    </row>
    <row r="23" ht="15.0" customHeight="1">
      <c r="A23" s="33"/>
      <c r="B23" s="34"/>
      <c r="C23" s="58"/>
      <c r="D23" s="59"/>
      <c r="E23" s="225" t="str">
        <f t="shared" ref="E23:E26" si="2">IFERROR(VLOOKUP(C23,#REF!,2)," ")</f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43"/>
      <c r="D26" s="62"/>
      <c r="E26" s="22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53" t="s">
        <v>110</v>
      </c>
      <c r="F27" s="54"/>
      <c r="G27" s="55"/>
      <c r="H27" s="117">
        <v>50000.0</v>
      </c>
      <c r="I27" s="40">
        <f t="shared" si="1"/>
        <v>209000</v>
      </c>
    </row>
    <row r="28" ht="15.0" customHeight="1">
      <c r="A28" s="56"/>
      <c r="B28" s="107"/>
      <c r="C28" s="43"/>
      <c r="D28" s="62"/>
      <c r="E28" s="131" t="str">
        <f>IFERROR(VLOOKUP(C28,#REF!,2)," ")</f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1050000</v>
      </c>
      <c r="H29" s="70">
        <f t="shared" si="3"/>
        <v>841000</v>
      </c>
      <c r="I29" s="228">
        <f>G29-H29</f>
        <v>209000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209000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209000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209000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39</v>
      </c>
      <c r="H37" s="12"/>
      <c r="I37" s="12"/>
    </row>
    <row r="38" ht="13.5" customHeight="1">
      <c r="A38" s="6" t="str">
        <f>'JUM ULA'!A38</f>
        <v>Ketua Yayasan</v>
      </c>
      <c r="B38" s="6"/>
      <c r="C38" s="6"/>
      <c r="D38" s="6"/>
      <c r="E38" s="13"/>
      <c r="F38" s="13"/>
      <c r="G38" s="74" t="str">
        <f>'JUM ULA'!G38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ULA'!A43</f>
        <v>K. KHOIRUS SHOLEH</v>
      </c>
      <c r="B43" s="83"/>
      <c r="C43" s="6"/>
      <c r="D43" s="6"/>
      <c r="E43" s="13"/>
      <c r="F43" s="13"/>
      <c r="G43" s="83" t="str">
        <f>'JUM ULA'!G43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1050000</v>
      </c>
      <c r="H66" s="193">
        <f t="shared" si="4"/>
        <v>841000</v>
      </c>
      <c r="I66" s="194">
        <f t="shared" si="4"/>
        <v>209000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1050000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111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112</v>
      </c>
      <c r="F11" s="38"/>
      <c r="G11" s="39" t="str">
        <f>if(D11=1,'JUM TSANI'!I29,"")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/>
      <c r="F12" s="46"/>
      <c r="G12" s="102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96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45"/>
      <c r="F14" s="46"/>
      <c r="G14" s="102"/>
      <c r="H14" s="57"/>
      <c r="I14" s="49">
        <f t="shared" si="1"/>
        <v>0</v>
      </c>
    </row>
    <row r="15" ht="15.0" customHeight="1">
      <c r="A15" s="33"/>
      <c r="B15" s="34"/>
      <c r="C15" s="58"/>
      <c r="D15" s="59"/>
      <c r="E15" s="53"/>
      <c r="F15" s="54"/>
      <c r="G15" s="96"/>
      <c r="H15" s="117"/>
      <c r="I15" s="40">
        <f t="shared" si="1"/>
        <v>0</v>
      </c>
    </row>
    <row r="16" ht="15.0" customHeight="1">
      <c r="A16" s="223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8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224" t="str">
        <f t="shared" ref="E18:E28" si="2">IFERROR(VLOOKUP(C18,#REF!,2)," ")</f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60"/>
      <c r="D19" s="52"/>
      <c r="E19" s="225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1"/>
      <c r="D20" s="62"/>
      <c r="E20" s="224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25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2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25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24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28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113</v>
      </c>
      <c r="H37" s="12"/>
      <c r="I37" s="12"/>
    </row>
    <row r="38" ht="13.5" customHeight="1">
      <c r="A38" s="6" t="str">
        <f>'JUM TSANI'!A38</f>
        <v>Ketua Yayasan</v>
      </c>
      <c r="B38" s="6"/>
      <c r="C38" s="6"/>
      <c r="D38" s="6"/>
      <c r="E38" s="13"/>
      <c r="F38" s="13"/>
      <c r="G38" s="74" t="str">
        <f>'JUM TSANI'!G38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TSANI'!A43</f>
        <v>K. KHOIRUS SHOLEH</v>
      </c>
      <c r="B43" s="83"/>
      <c r="C43" s="6"/>
      <c r="D43" s="6"/>
      <c r="E43" s="13"/>
      <c r="F43" s="13"/>
      <c r="G43" s="83" t="str">
        <f>'JUM TSANI'!G43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114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115</v>
      </c>
      <c r="F11" s="38"/>
      <c r="G11" s="39">
        <f>if(D11=1,RAJAB!I29,"")</f>
        <v>0</v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224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25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61"/>
      <c r="D14" s="62"/>
      <c r="E14" s="224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1"/>
      <c r="D15" s="52"/>
      <c r="E15" s="225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224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25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4"/>
      <c r="D18" s="62"/>
      <c r="E18" s="224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25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24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25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24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25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24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25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24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25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24" t="str">
        <f t="shared" si="2"/>
        <v> </v>
      </c>
      <c r="F28" s="46"/>
      <c r="G28" s="48"/>
      <c r="H28" s="48"/>
      <c r="I28" s="274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275">
        <f>G29-H29</f>
        <v>0</v>
      </c>
    </row>
    <row r="30" ht="18.0" customHeight="1">
      <c r="A30" s="72" t="s">
        <v>55</v>
      </c>
      <c r="B30" s="6"/>
      <c r="C30" s="6"/>
      <c r="D30" s="6"/>
      <c r="E30" s="13"/>
      <c r="F30" s="6"/>
      <c r="G30" s="12"/>
      <c r="H30" s="12"/>
      <c r="I30" s="134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95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..............................................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65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66</v>
      </c>
      <c r="E61" s="13"/>
      <c r="F61" s="6"/>
      <c r="G61" s="11"/>
      <c r="H61" s="11" t="s">
        <v>67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7" t="s">
        <v>68</v>
      </c>
      <c r="B63" s="168"/>
      <c r="C63" s="169" t="s">
        <v>13</v>
      </c>
      <c r="D63" s="169" t="s">
        <v>14</v>
      </c>
      <c r="E63" s="170" t="s">
        <v>15</v>
      </c>
      <c r="F63" s="171"/>
      <c r="G63" s="172" t="s">
        <v>16</v>
      </c>
      <c r="H63" s="172" t="s">
        <v>17</v>
      </c>
      <c r="I63" s="173" t="s">
        <v>18</v>
      </c>
    </row>
    <row r="64" ht="13.5" hidden="1" customHeight="1">
      <c r="A64" s="174"/>
      <c r="B64" s="175"/>
      <c r="C64" s="176"/>
      <c r="D64" s="176"/>
      <c r="E64" s="177"/>
      <c r="F64" s="178"/>
      <c r="G64" s="179" t="s">
        <v>19</v>
      </c>
      <c r="H64" s="179" t="s">
        <v>19</v>
      </c>
      <c r="I64" s="180" t="s">
        <v>19</v>
      </c>
    </row>
    <row r="65" ht="14.25" hidden="1" customHeight="1">
      <c r="A65" s="181">
        <v>1.0</v>
      </c>
      <c r="B65" s="182"/>
      <c r="C65" s="183">
        <v>2.0</v>
      </c>
      <c r="D65" s="184">
        <v>3.0</v>
      </c>
      <c r="E65" s="185">
        <v>4.0</v>
      </c>
      <c r="F65" s="186"/>
      <c r="G65" s="183">
        <v>5.0</v>
      </c>
      <c r="H65" s="184">
        <v>6.0</v>
      </c>
      <c r="I65" s="187">
        <v>7.0</v>
      </c>
    </row>
    <row r="66" ht="20.25" hidden="1" customHeight="1">
      <c r="A66" s="188" t="s">
        <v>69</v>
      </c>
      <c r="B66" s="189"/>
      <c r="C66" s="189"/>
      <c r="D66" s="190"/>
      <c r="E66" s="191" t="s">
        <v>70</v>
      </c>
      <c r="F66" s="192"/>
      <c r="G66" s="193">
        <f t="shared" ref="G66:I66" si="4">G29</f>
        <v>0</v>
      </c>
      <c r="H66" s="193">
        <f t="shared" si="4"/>
        <v>0</v>
      </c>
      <c r="I66" s="194">
        <f t="shared" si="4"/>
        <v>0</v>
      </c>
    </row>
    <row r="67" ht="20.25" hidden="1" customHeight="1">
      <c r="A67" s="195" t="s">
        <v>71</v>
      </c>
      <c r="B67" s="196"/>
      <c r="C67" s="196"/>
      <c r="D67" s="190">
        <v>9.0</v>
      </c>
      <c r="E67" s="197" t="s">
        <v>72</v>
      </c>
      <c r="F67" s="198"/>
      <c r="G67" s="199"/>
      <c r="H67" s="199" t="str">
        <f t="shared" ref="H67:H68" si="5">#REF!</f>
        <v>#REF!</v>
      </c>
      <c r="I67" s="200" t="str">
        <f t="shared" ref="I67:I68" si="6">I66-H67</f>
        <v>#REF!</v>
      </c>
    </row>
    <row r="68" ht="20.25" hidden="1" customHeight="1">
      <c r="A68" s="195" t="s">
        <v>71</v>
      </c>
      <c r="B68" s="196"/>
      <c r="C68" s="201"/>
      <c r="D68" s="202">
        <v>10.0</v>
      </c>
      <c r="E68" s="197" t="s">
        <v>73</v>
      </c>
      <c r="F68" s="203"/>
      <c r="G68" s="204"/>
      <c r="H68" s="204" t="str">
        <f t="shared" si="5"/>
        <v>#REF!</v>
      </c>
      <c r="I68" s="200" t="str">
        <f t="shared" si="6"/>
        <v>#REF!</v>
      </c>
    </row>
    <row r="69" ht="20.25" hidden="1" customHeight="1">
      <c r="A69" s="205"/>
      <c r="B69" s="201"/>
      <c r="C69" s="201"/>
      <c r="D69" s="202"/>
      <c r="E69" s="197"/>
      <c r="F69" s="203"/>
      <c r="G69" s="204"/>
      <c r="H69" s="204"/>
      <c r="I69" s="206"/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7"/>
      <c r="B71" s="208"/>
      <c r="C71" s="209"/>
      <c r="D71" s="202"/>
      <c r="E71" s="197"/>
      <c r="F71" s="203"/>
      <c r="G71" s="199"/>
      <c r="H71" s="199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5"/>
      <c r="B73" s="201"/>
      <c r="C73" s="201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10"/>
      <c r="C74" s="210"/>
      <c r="D74" s="211"/>
      <c r="E74" s="212"/>
      <c r="F74" s="213"/>
      <c r="G74" s="199"/>
      <c r="H74" s="199"/>
      <c r="I74" s="206"/>
    </row>
    <row r="75" ht="26.25" hidden="1" customHeight="1">
      <c r="A75" s="214"/>
      <c r="B75" s="215"/>
      <c r="C75" s="216"/>
      <c r="D75" s="217"/>
      <c r="E75" s="218" t="s">
        <v>74</v>
      </c>
      <c r="F75" s="219"/>
      <c r="G75" s="220">
        <f t="shared" ref="G75:H75" si="7">SUM(G66:G74)</f>
        <v>0</v>
      </c>
      <c r="H75" s="220" t="str">
        <f t="shared" si="7"/>
        <v>#REF!</v>
      </c>
      <c r="I75" s="221" t="str">
        <f>+G75-H75</f>
        <v>#REF!</v>
      </c>
    </row>
    <row r="76" ht="25.5" hidden="1" customHeight="1">
      <c r="A76" s="6" t="s">
        <v>75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76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22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77</v>
      </c>
      <c r="H85" s="6"/>
      <c r="I85" s="12"/>
    </row>
    <row r="86" ht="13.5" hidden="1" customHeight="1">
      <c r="A86" s="6" t="s">
        <v>78</v>
      </c>
      <c r="B86" s="6"/>
      <c r="C86" s="6"/>
      <c r="D86" s="6"/>
      <c r="E86" s="13"/>
      <c r="F86" s="13"/>
      <c r="G86" s="6" t="s">
        <v>79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80</v>
      </c>
      <c r="B90" s="6"/>
      <c r="C90" s="6"/>
      <c r="D90" s="6"/>
      <c r="E90" s="13"/>
      <c r="F90" s="13"/>
      <c r="G90" s="6" t="s">
        <v>80</v>
      </c>
      <c r="H90" s="12"/>
      <c r="I90" s="12"/>
    </row>
    <row r="91" ht="13.5" hidden="1" customHeight="1">
      <c r="A91" s="74" t="s">
        <v>81</v>
      </c>
      <c r="B91" s="74"/>
      <c r="C91" s="74"/>
      <c r="D91" s="6"/>
      <c r="E91" s="13"/>
      <c r="F91" s="13"/>
      <c r="G91" s="74" t="s">
        <v>81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116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44"/>
      <c r="B11" s="34"/>
      <c r="C11" s="35"/>
      <c r="D11" s="36"/>
      <c r="E11" s="53" t="s">
        <v>117</v>
      </c>
      <c r="F11" s="54"/>
      <c r="G11" s="39" t="str">
        <f>if(D11=1,SYABAN!I29,"")</f>
        <v/>
      </c>
      <c r="H11" s="39"/>
      <c r="I11" s="40">
        <f t="shared" ref="I11:I29" si="1">IF(OR(G11&lt;&gt;0,H11&lt;&gt;0),SUM(G$11:G11)-SUM(H$11:H11),0)</f>
        <v>0</v>
      </c>
    </row>
    <row r="12" ht="15.0" customHeight="1">
      <c r="A12" s="223"/>
      <c r="B12" s="107"/>
      <c r="C12" s="43"/>
      <c r="D12" s="44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60"/>
      <c r="D13" s="52"/>
      <c r="E13" s="53"/>
      <c r="F13" s="54"/>
      <c r="G13" s="55"/>
      <c r="H13" s="117"/>
      <c r="I13" s="40">
        <f t="shared" si="1"/>
        <v>0</v>
      </c>
    </row>
    <row r="14" ht="15.0" customHeight="1">
      <c r="A14" s="56"/>
      <c r="B14" s="107"/>
      <c r="C14" s="43"/>
      <c r="D14" s="44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60"/>
      <c r="D15" s="52"/>
      <c r="E15" s="225"/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18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123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18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64"/>
      <c r="D20" s="62"/>
      <c r="E20" s="123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18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123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18"/>
      <c r="F23" s="54"/>
      <c r="G23" s="55"/>
      <c r="H23" s="117"/>
      <c r="I23" s="40">
        <f t="shared" si="1"/>
        <v>0</v>
      </c>
    </row>
    <row r="24" ht="15.0" customHeight="1">
      <c r="A24" s="56"/>
      <c r="B24" s="107"/>
      <c r="C24" s="64"/>
      <c r="D24" s="62"/>
      <c r="E24" s="131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3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32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32" t="str">
        <f t="shared" si="2"/>
        <v> </v>
      </c>
      <c r="F29" s="54"/>
      <c r="G29" s="55"/>
      <c r="H29" s="55"/>
      <c r="I29" s="276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277">
        <f>G30-H30</f>
        <v>0</v>
      </c>
    </row>
    <row r="31" ht="18.0" customHeight="1">
      <c r="A31" s="72" t="s">
        <v>55</v>
      </c>
      <c r="B31" s="6"/>
      <c r="C31" s="6"/>
      <c r="D31" s="6"/>
      <c r="E31" s="13"/>
      <c r="F31" s="6"/>
      <c r="G31" s="12"/>
      <c r="H31" s="12"/>
      <c r="I31" s="134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98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..............................................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65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66</v>
      </c>
      <c r="E62" s="13"/>
      <c r="F62" s="6"/>
      <c r="G62" s="11"/>
      <c r="H62" s="11" t="s">
        <v>67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7" t="s">
        <v>68</v>
      </c>
      <c r="B64" s="168"/>
      <c r="C64" s="169" t="s">
        <v>13</v>
      </c>
      <c r="D64" s="169" t="s">
        <v>14</v>
      </c>
      <c r="E64" s="170" t="s">
        <v>15</v>
      </c>
      <c r="F64" s="171"/>
      <c r="G64" s="172" t="s">
        <v>16</v>
      </c>
      <c r="H64" s="172" t="s">
        <v>17</v>
      </c>
      <c r="I64" s="173" t="s">
        <v>18</v>
      </c>
    </row>
    <row r="65" ht="13.5" hidden="1" customHeight="1">
      <c r="A65" s="174"/>
      <c r="B65" s="175"/>
      <c r="C65" s="176"/>
      <c r="D65" s="176"/>
      <c r="E65" s="177"/>
      <c r="F65" s="178"/>
      <c r="G65" s="179" t="s">
        <v>19</v>
      </c>
      <c r="H65" s="179" t="s">
        <v>19</v>
      </c>
      <c r="I65" s="180" t="s">
        <v>19</v>
      </c>
    </row>
    <row r="66" ht="14.25" hidden="1" customHeight="1">
      <c r="A66" s="181">
        <v>1.0</v>
      </c>
      <c r="B66" s="182"/>
      <c r="C66" s="183">
        <v>2.0</v>
      </c>
      <c r="D66" s="184">
        <v>3.0</v>
      </c>
      <c r="E66" s="185">
        <v>4.0</v>
      </c>
      <c r="F66" s="186"/>
      <c r="G66" s="183">
        <v>5.0</v>
      </c>
      <c r="H66" s="184">
        <v>6.0</v>
      </c>
      <c r="I66" s="187">
        <v>7.0</v>
      </c>
    </row>
    <row r="67" ht="20.25" hidden="1" customHeight="1">
      <c r="A67" s="188" t="s">
        <v>69</v>
      </c>
      <c r="B67" s="189"/>
      <c r="C67" s="189"/>
      <c r="D67" s="190"/>
      <c r="E67" s="191" t="s">
        <v>70</v>
      </c>
      <c r="F67" s="192"/>
      <c r="G67" s="193">
        <f t="shared" ref="G67:I67" si="4">G30</f>
        <v>0</v>
      </c>
      <c r="H67" s="193">
        <f t="shared" si="4"/>
        <v>0</v>
      </c>
      <c r="I67" s="194">
        <f t="shared" si="4"/>
        <v>0</v>
      </c>
    </row>
    <row r="68" ht="20.25" hidden="1" customHeight="1">
      <c r="A68" s="195" t="s">
        <v>71</v>
      </c>
      <c r="B68" s="196"/>
      <c r="C68" s="196"/>
      <c r="D68" s="190">
        <v>9.0</v>
      </c>
      <c r="E68" s="197" t="s">
        <v>72</v>
      </c>
      <c r="F68" s="198"/>
      <c r="G68" s="199"/>
      <c r="H68" s="199" t="str">
        <f t="shared" ref="H68:H69" si="5">#REF!</f>
        <v>#REF!</v>
      </c>
      <c r="I68" s="200" t="str">
        <f t="shared" ref="I68:I69" si="6">I67-H68</f>
        <v>#REF!</v>
      </c>
    </row>
    <row r="69" ht="20.25" hidden="1" customHeight="1">
      <c r="A69" s="195" t="s">
        <v>71</v>
      </c>
      <c r="B69" s="196"/>
      <c r="C69" s="201"/>
      <c r="D69" s="202">
        <v>10.0</v>
      </c>
      <c r="E69" s="197" t="s">
        <v>73</v>
      </c>
      <c r="F69" s="203"/>
      <c r="G69" s="204"/>
      <c r="H69" s="204" t="str">
        <f t="shared" si="5"/>
        <v>#REF!</v>
      </c>
      <c r="I69" s="200" t="str">
        <f t="shared" si="6"/>
        <v>#REF!</v>
      </c>
    </row>
    <row r="70" ht="20.25" hidden="1" customHeight="1">
      <c r="A70" s="205"/>
      <c r="B70" s="201"/>
      <c r="C70" s="201"/>
      <c r="D70" s="202"/>
      <c r="E70" s="197"/>
      <c r="F70" s="203"/>
      <c r="G70" s="204"/>
      <c r="H70" s="204"/>
      <c r="I70" s="206"/>
    </row>
    <row r="71" ht="20.25" hidden="1" customHeight="1">
      <c r="A71" s="205"/>
      <c r="B71" s="201"/>
      <c r="C71" s="201"/>
      <c r="D71" s="202"/>
      <c r="E71" s="197"/>
      <c r="F71" s="203"/>
      <c r="G71" s="204"/>
      <c r="H71" s="204"/>
      <c r="I71" s="206"/>
    </row>
    <row r="72" ht="20.25" hidden="1" customHeight="1">
      <c r="A72" s="207"/>
      <c r="B72" s="208"/>
      <c r="C72" s="209"/>
      <c r="D72" s="202"/>
      <c r="E72" s="197"/>
      <c r="F72" s="203"/>
      <c r="G72" s="199"/>
      <c r="H72" s="199"/>
      <c r="I72" s="206"/>
    </row>
    <row r="73" ht="20.25" hidden="1" customHeight="1">
      <c r="A73" s="207"/>
      <c r="B73" s="208"/>
      <c r="C73" s="209"/>
      <c r="D73" s="202"/>
      <c r="E73" s="197"/>
      <c r="F73" s="203"/>
      <c r="G73" s="199"/>
      <c r="H73" s="199"/>
      <c r="I73" s="206"/>
    </row>
    <row r="74" ht="20.25" hidden="1" customHeight="1">
      <c r="A74" s="205"/>
      <c r="B74" s="201"/>
      <c r="C74" s="201"/>
      <c r="D74" s="202"/>
      <c r="E74" s="197"/>
      <c r="F74" s="203"/>
      <c r="G74" s="199"/>
      <c r="H74" s="199"/>
      <c r="I74" s="206"/>
    </row>
    <row r="75" ht="20.25" hidden="1" customHeight="1">
      <c r="A75" s="205"/>
      <c r="B75" s="210"/>
      <c r="C75" s="210"/>
      <c r="D75" s="211"/>
      <c r="E75" s="212"/>
      <c r="F75" s="213"/>
      <c r="G75" s="199"/>
      <c r="H75" s="199"/>
      <c r="I75" s="206"/>
    </row>
    <row r="76" ht="26.25" hidden="1" customHeight="1">
      <c r="A76" s="214"/>
      <c r="B76" s="215"/>
      <c r="C76" s="216"/>
      <c r="D76" s="217"/>
      <c r="E76" s="218" t="s">
        <v>74</v>
      </c>
      <c r="F76" s="219"/>
      <c r="G76" s="220">
        <f t="shared" ref="G76:H76" si="7">SUM(G67:G75)</f>
        <v>0</v>
      </c>
      <c r="H76" s="220" t="str">
        <f t="shared" si="7"/>
        <v>#REF!</v>
      </c>
      <c r="I76" s="221" t="str">
        <f>+G76-H76</f>
        <v>#REF!</v>
      </c>
    </row>
    <row r="77" ht="25.5" hidden="1" customHeight="1">
      <c r="A77" s="6" t="s">
        <v>75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76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22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77</v>
      </c>
      <c r="H86" s="6"/>
      <c r="I86" s="12"/>
    </row>
    <row r="87" ht="13.5" hidden="1" customHeight="1">
      <c r="A87" s="6" t="s">
        <v>78</v>
      </c>
      <c r="B87" s="6"/>
      <c r="C87" s="6"/>
      <c r="D87" s="6"/>
      <c r="E87" s="13"/>
      <c r="F87" s="13"/>
      <c r="G87" s="6" t="s">
        <v>79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80</v>
      </c>
      <c r="B91" s="6"/>
      <c r="C91" s="6"/>
      <c r="D91" s="6"/>
      <c r="E91" s="13"/>
      <c r="F91" s="13"/>
      <c r="G91" s="6" t="s">
        <v>80</v>
      </c>
      <c r="H91" s="12"/>
      <c r="I91" s="12"/>
    </row>
    <row r="92" ht="13.5" hidden="1" customHeight="1">
      <c r="A92" s="74" t="s">
        <v>81</v>
      </c>
      <c r="B92" s="74"/>
      <c r="C92" s="74"/>
      <c r="D92" s="6"/>
      <c r="E92" s="13"/>
      <c r="F92" s="13"/>
      <c r="G92" s="74" t="s">
        <v>81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