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K RAPBM" sheetId="1" state="visible" r:id="rId3"/>
    <sheet name="REAL RAPB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<sst xmlns="http://schemas.openxmlformats.org/spreadsheetml/2006/main" count="1032" uniqueCount="353">
  <si>
    <t xml:space="preserve">RENCANA KERJA, RENCANA ANGGARAN PENDAPATAN DAN BELANJA MADRASAH</t>
  </si>
  <si>
    <t xml:space="preserve">MTQ  ANGSANAH BARAT</t>
  </si>
  <si>
    <t xml:space="preserve">TAHUN PELAJARAN 1447-1448 H</t>
  </si>
  <si>
    <t xml:space="preserve">A.</t>
  </si>
  <si>
    <t xml:space="preserve">RENCANA ANGGARAN PENDAPATAN</t>
  </si>
  <si>
    <t xml:space="preserve">TABEL REFERENSI PENDAPATAN</t>
  </si>
  <si>
    <t xml:space="preserve">No</t>
  </si>
  <si>
    <t xml:space="preserve">Kode</t>
  </si>
  <si>
    <t xml:space="preserve">Uraian</t>
  </si>
  <si>
    <t xml:space="preserve">Waktu Pelaksanaan</t>
  </si>
  <si>
    <t xml:space="preserve">Pelaksana</t>
  </si>
  <si>
    <t xml:space="preserve">Volume</t>
  </si>
  <si>
    <t xml:space="preserve">Satuan</t>
  </si>
  <si>
    <t xml:space="preserve">Harga Satuan</t>
  </si>
  <si>
    <t xml:space="preserve">Jumlah</t>
  </si>
  <si>
    <t xml:space="preserve">04.01</t>
  </si>
  <si>
    <t xml:space="preserve">Saldo Tahun Lalu</t>
  </si>
  <si>
    <t xml:space="preserve">Bendahara Madrasah</t>
  </si>
  <si>
    <t xml:space="preserve">Keg</t>
  </si>
  <si>
    <t xml:space="preserve">Saniyah/Tahunan</t>
  </si>
  <si>
    <t xml:space="preserve">04.02</t>
  </si>
  <si>
    <t xml:space="preserve">SPP Murid Kelas 1-3</t>
  </si>
  <si>
    <t xml:space="preserve">Wali Murid</t>
  </si>
  <si>
    <t xml:space="preserve">Org</t>
  </si>
  <si>
    <t xml:space="preserve">Syahriyah/Bulanan</t>
  </si>
  <si>
    <t xml:space="preserve">04.03</t>
  </si>
  <si>
    <t xml:space="preserve">SPP Murid Kelas 4-6</t>
  </si>
  <si>
    <t xml:space="preserve">Pemprof Jatim</t>
  </si>
  <si>
    <t xml:space="preserve">Tahap</t>
  </si>
  <si>
    <t xml:space="preserve">Dauriyah/Triwulan</t>
  </si>
  <si>
    <t xml:space="preserve">04.04</t>
  </si>
  <si>
    <t xml:space="preserve">BOSDA</t>
  </si>
  <si>
    <t xml:space="preserve">Bendahara MMU Induk</t>
  </si>
  <si>
    <t xml:space="preserve">Salur</t>
  </si>
  <si>
    <t xml:space="preserve">Usbuiyah/Mingguan</t>
  </si>
  <si>
    <t xml:space="preserve">04.05</t>
  </si>
  <si>
    <t xml:space="preserve">MMU Induk</t>
  </si>
  <si>
    <t xml:space="preserve">Bendahara Yayasan</t>
  </si>
  <si>
    <t xml:space="preserve">Anggaran</t>
  </si>
  <si>
    <t xml:space="preserve">Nishfussaniyah/Semester</t>
  </si>
  <si>
    <t xml:space="preserve">04.06</t>
  </si>
  <si>
    <t xml:space="preserve">Yayasan</t>
  </si>
  <si>
    <t xml:space="preserve">Simpatisan</t>
  </si>
  <si>
    <t xml:space="preserve">Pagu</t>
  </si>
  <si>
    <t xml:space="preserve">Yaumiyah/Harian</t>
  </si>
  <si>
    <t xml:space="preserve">04.07</t>
  </si>
  <si>
    <t xml:space="preserve">Donatur</t>
  </si>
  <si>
    <t xml:space="preserve">Syarthiyah/Kondisonal</t>
  </si>
  <si>
    <t xml:space="preserve">04.08</t>
  </si>
  <si>
    <t xml:space="preserve">Sumbangan Awal Tahun</t>
  </si>
  <si>
    <t xml:space="preserve">Hamba Allah</t>
  </si>
  <si>
    <t xml:space="preserve">04.09</t>
  </si>
  <si>
    <t xml:space="preserve">Sumbangan Akhir Tahun</t>
  </si>
  <si>
    <t xml:space="preserve">Murid</t>
  </si>
  <si>
    <t xml:space="preserve">04.10</t>
  </si>
  <si>
    <t xml:space="preserve">Sumbangan IMDA 1-3</t>
  </si>
  <si>
    <t xml:space="preserve">04.11</t>
  </si>
  <si>
    <t xml:space="preserve">Sumbangan IMDA 4-6</t>
  </si>
  <si>
    <t xml:space="preserve">04.12</t>
  </si>
  <si>
    <t xml:space="preserve">Sumbangan Tamrin Massal</t>
  </si>
  <si>
    <t xml:space="preserve">TABEL REFERENSI BELANJA</t>
  </si>
  <si>
    <t xml:space="preserve">TOTAL AKHIR RENCANA ANGGARAN PENDAPATAN</t>
  </si>
  <si>
    <t xml:space="preserve">KODE</t>
  </si>
  <si>
    <t xml:space="preserve">Uraian </t>
  </si>
  <si>
    <t xml:space="preserve">B.</t>
  </si>
  <si>
    <t xml:space="preserve">RENCANA ANGGARAN BELANJA</t>
  </si>
  <si>
    <t xml:space="preserve">05.01</t>
  </si>
  <si>
    <t xml:space="preserve">Rapat-Rapat</t>
  </si>
  <si>
    <t xml:space="preserve">Kepala Madrasah</t>
  </si>
  <si>
    <t xml:space="preserve">05.01.01</t>
  </si>
  <si>
    <t xml:space="preserve">Rapat Penyusunan RK-RAPBM</t>
  </si>
  <si>
    <t xml:space="preserve">Sekretaris Madrasah</t>
  </si>
  <si>
    <t xml:space="preserve">05.01.02</t>
  </si>
  <si>
    <t xml:space="preserve">Rapat Evaluasi Program Madrasah</t>
  </si>
  <si>
    <t xml:space="preserve">Rim</t>
  </si>
  <si>
    <t xml:space="preserve">05.01.03</t>
  </si>
  <si>
    <t xml:space="preserve">Rapat Evaluasi Wali Kelas</t>
  </si>
  <si>
    <t xml:space="preserve">Botol</t>
  </si>
  <si>
    <t xml:space="preserve">Kordinator TU</t>
  </si>
  <si>
    <t xml:space="preserve">05.01.04</t>
  </si>
  <si>
    <t xml:space="preserve">Rapat Koordinasi Guru</t>
  </si>
  <si>
    <t xml:space="preserve">Bos</t>
  </si>
  <si>
    <t xml:space="preserve">Tenaga Lainnya</t>
  </si>
  <si>
    <t xml:space="preserve">05.02</t>
  </si>
  <si>
    <t xml:space="preserve">Inventaris Madrasah</t>
  </si>
  <si>
    <t xml:space="preserve">Dus</t>
  </si>
  <si>
    <t xml:space="preserve">Waka Kurikulum</t>
  </si>
  <si>
    <t xml:space="preserve">05.02.01</t>
  </si>
  <si>
    <t xml:space="preserve">Komputer/Laptop</t>
  </si>
  <si>
    <t xml:space="preserve">Slop</t>
  </si>
  <si>
    <t xml:space="preserve">Waka Kemuridan</t>
  </si>
  <si>
    <t xml:space="preserve">05.02.02</t>
  </si>
  <si>
    <t xml:space="preserve">Layar Monitor</t>
  </si>
  <si>
    <t xml:space="preserve">Pack</t>
  </si>
  <si>
    <t xml:space="preserve">Waka Humas</t>
  </si>
  <si>
    <t xml:space="preserve">05.02.03</t>
  </si>
  <si>
    <t xml:space="preserve">Mouse</t>
  </si>
  <si>
    <t xml:space="preserve">Pcs</t>
  </si>
  <si>
    <t xml:space="preserve">Waka Sarpras</t>
  </si>
  <si>
    <t xml:space="preserve">Sub Total</t>
  </si>
  <si>
    <t xml:space="preserve">05.02.04</t>
  </si>
  <si>
    <t xml:space="preserve">Printer</t>
  </si>
  <si>
    <t xml:space="preserve">Unit</t>
  </si>
  <si>
    <t xml:space="preserve">Kepala Laboratorium</t>
  </si>
  <si>
    <t xml:space="preserve">05.02.05</t>
  </si>
  <si>
    <t xml:space="preserve">Proyektor</t>
  </si>
  <si>
    <t xml:space="preserve">Buah</t>
  </si>
  <si>
    <t xml:space="preserve">Kepala Perpus</t>
  </si>
  <si>
    <t xml:space="preserve">05.02.06</t>
  </si>
  <si>
    <t xml:space="preserve">Papan Tulis</t>
  </si>
  <si>
    <t xml:space="preserve">Item</t>
  </si>
  <si>
    <t xml:space="preserve">Organisasi Kemuridan</t>
  </si>
  <si>
    <t xml:space="preserve">05.02.07</t>
  </si>
  <si>
    <t xml:space="preserve">Meja Guru</t>
  </si>
  <si>
    <t xml:space="preserve">Bundel</t>
  </si>
  <si>
    <t xml:space="preserve">Komite</t>
  </si>
  <si>
    <t xml:space="preserve">05.02.08</t>
  </si>
  <si>
    <t xml:space="preserve">Kursi Guru</t>
  </si>
  <si>
    <t xml:space="preserve">Bulan</t>
  </si>
  <si>
    <t xml:space="preserve">Kordintor BK</t>
  </si>
  <si>
    <t xml:space="preserve">05.02.09</t>
  </si>
  <si>
    <t xml:space="preserve">Meja Murid</t>
  </si>
  <si>
    <t xml:space="preserve">Tahun</t>
  </si>
  <si>
    <t xml:space="preserve">Wali Kelas</t>
  </si>
  <si>
    <t xml:space="preserve">05.02.10</t>
  </si>
  <si>
    <t xml:space="preserve">Kursi Murid</t>
  </si>
  <si>
    <t xml:space="preserve">Pekan</t>
  </si>
  <si>
    <t xml:space="preserve">Guru Fan</t>
  </si>
  <si>
    <t xml:space="preserve">05.02.11</t>
  </si>
  <si>
    <t xml:space="preserve">Meja Kantor</t>
  </si>
  <si>
    <t xml:space="preserve">Renteng</t>
  </si>
  <si>
    <t xml:space="preserve">Satpam</t>
  </si>
  <si>
    <t xml:space="preserve">05.02.12</t>
  </si>
  <si>
    <t xml:space="preserve">Kursi Kantor</t>
  </si>
  <si>
    <t xml:space="preserve">ml</t>
  </si>
  <si>
    <t xml:space="preserve">Muallim al-Qur'an</t>
  </si>
  <si>
    <t xml:space="preserve">05.02.13</t>
  </si>
  <si>
    <t xml:space="preserve">Kipas Angin</t>
  </si>
  <si>
    <t xml:space="preserve">Kg</t>
  </si>
  <si>
    <t xml:space="preserve">Petugas Kebersihan</t>
  </si>
  <si>
    <t xml:space="preserve">05.02.14</t>
  </si>
  <si>
    <t xml:space="preserve">Speaker Aktif</t>
  </si>
  <si>
    <t xml:space="preserve">Ton</t>
  </si>
  <si>
    <t xml:space="preserve">Petugas Kedisiplinan</t>
  </si>
  <si>
    <t xml:space="preserve">05.02.15</t>
  </si>
  <si>
    <t xml:space="preserve">Papan Informasi</t>
  </si>
  <si>
    <t xml:space="preserve">Kwintal</t>
  </si>
  <si>
    <t xml:space="preserve">Guru al-Miftah</t>
  </si>
  <si>
    <t xml:space="preserve">05.02.16</t>
  </si>
  <si>
    <t xml:space="preserve">Alat Komunikasi</t>
  </si>
  <si>
    <t xml:space="preserve">Ons</t>
  </si>
  <si>
    <t xml:space="preserve">Koordinator Qur'ani</t>
  </si>
  <si>
    <t xml:space="preserve">05.02.17</t>
  </si>
  <si>
    <t xml:space="preserve">Almari/Lemari</t>
  </si>
  <si>
    <t xml:space="preserve">Gram</t>
  </si>
  <si>
    <t xml:space="preserve">05.02.18</t>
  </si>
  <si>
    <t xml:space="preserve">Terminal Listrik</t>
  </si>
  <si>
    <t xml:space="preserve">Biji</t>
  </si>
  <si>
    <t xml:space="preserve">05.02.19</t>
  </si>
  <si>
    <t xml:space="preserve">Stempel Madrasah</t>
  </si>
  <si>
    <t xml:space="preserve">Kodi</t>
  </si>
  <si>
    <t xml:space="preserve">05.02.20</t>
  </si>
  <si>
    <t xml:space="preserve">Stamp Pad</t>
  </si>
  <si>
    <t xml:space="preserve">Karton</t>
  </si>
  <si>
    <t xml:space="preserve">05.03</t>
  </si>
  <si>
    <t xml:space="preserve">05.02.21</t>
  </si>
  <si>
    <t xml:space="preserve">Stamping INK</t>
  </si>
  <si>
    <t xml:space="preserve">Set</t>
  </si>
  <si>
    <t xml:space="preserve">05.02.22</t>
  </si>
  <si>
    <t xml:space="preserve">Stapler</t>
  </si>
  <si>
    <t xml:space="preserve">mol</t>
  </si>
  <si>
    <t xml:space="preserve">05.02.23</t>
  </si>
  <si>
    <t xml:space="preserve">Staples</t>
  </si>
  <si>
    <t xml:space="preserve">m</t>
  </si>
  <si>
    <t xml:space="preserve">05.02.24</t>
  </si>
  <si>
    <t xml:space="preserve">Perforator/Alat Melubangi Kertas</t>
  </si>
  <si>
    <t xml:space="preserve">Lusin</t>
  </si>
  <si>
    <t xml:space="preserve">05.02.25</t>
  </si>
  <si>
    <t xml:space="preserve">Buku Induk Murid</t>
  </si>
  <si>
    <t xml:space="preserve">Ampere</t>
  </si>
  <si>
    <t xml:space="preserve">05.02.26</t>
  </si>
  <si>
    <t xml:space="preserve">Buku Induk Guru</t>
  </si>
  <si>
    <t xml:space="preserve">Liter</t>
  </si>
  <si>
    <t xml:space="preserve">05.02.27</t>
  </si>
  <si>
    <t xml:space="preserve">Buku Ekspedisi</t>
  </si>
  <si>
    <t xml:space="preserve">05.02.28</t>
  </si>
  <si>
    <t xml:space="preserve">Kartu emaal Madrasah</t>
  </si>
  <si>
    <t xml:space="preserve">05.02.29</t>
  </si>
  <si>
    <t xml:space="preserve">Meteran Listrik</t>
  </si>
  <si>
    <t xml:space="preserve">05.02.30</t>
  </si>
  <si>
    <t xml:space="preserve">Buku Tamu</t>
  </si>
  <si>
    <t xml:space="preserve">05.04</t>
  </si>
  <si>
    <t xml:space="preserve">05.02.31</t>
  </si>
  <si>
    <t xml:space="preserve">Buku Pembinaan</t>
  </si>
  <si>
    <t xml:space="preserve">05.02.32</t>
  </si>
  <si>
    <t xml:space="preserve">Rekening Madrasah</t>
  </si>
  <si>
    <t xml:space="preserve">05.02.33</t>
  </si>
  <si>
    <t xml:space="preserve">Lainnya</t>
  </si>
  <si>
    <t xml:space="preserve">Pengembangan PTK</t>
  </si>
  <si>
    <t xml:space="preserve">05.03.01</t>
  </si>
  <si>
    <t xml:space="preserve">Kursus Metode Mengajar al-Miftah Lil Ulum</t>
  </si>
  <si>
    <t xml:space="preserve">05.03.02</t>
  </si>
  <si>
    <t xml:space="preserve">Pembinaan Metode Mengajar MQS</t>
  </si>
  <si>
    <t xml:space="preserve">05.03.03</t>
  </si>
  <si>
    <t xml:space="preserve">Pembinaan Metode Mengajar al-Miftah Lil Ulum</t>
  </si>
  <si>
    <t xml:space="preserve">05.05</t>
  </si>
  <si>
    <t xml:space="preserve">05.03.04</t>
  </si>
  <si>
    <t xml:space="preserve">Kursus Ilmu Faraidl</t>
  </si>
  <si>
    <t xml:space="preserve">05.03.05</t>
  </si>
  <si>
    <t xml:space="preserve">Pembinaan Kompetensi Tenaga Ekstrakurikuler</t>
  </si>
  <si>
    <t xml:space="preserve">05.03.06</t>
  </si>
  <si>
    <t xml:space="preserve">Pembinaan Kompetensi Tenaga Administrasi/TU</t>
  </si>
  <si>
    <t xml:space="preserve">05.03.07</t>
  </si>
  <si>
    <t xml:space="preserve">Pembinaan Kompetensi Kepala Laboratorium</t>
  </si>
  <si>
    <t xml:space="preserve">05.03.08</t>
  </si>
  <si>
    <t xml:space="preserve">Pembinaan Kompetensi Kepala Perpustakaan</t>
  </si>
  <si>
    <t xml:space="preserve">05.03.09</t>
  </si>
  <si>
    <t xml:space="preserve">Bisyaroh PTK</t>
  </si>
  <si>
    <t xml:space="preserve">05.06</t>
  </si>
  <si>
    <t xml:space="preserve">05.04.01</t>
  </si>
  <si>
    <t xml:space="preserve">05.04.02</t>
  </si>
  <si>
    <t xml:space="preserve">Guru</t>
  </si>
  <si>
    <t xml:space="preserve">05.04.03</t>
  </si>
  <si>
    <t xml:space="preserve">Tenaga Administrasi/TU</t>
  </si>
  <si>
    <t xml:space="preserve">05.04.04</t>
  </si>
  <si>
    <t xml:space="preserve">Bendahara</t>
  </si>
  <si>
    <t xml:space="preserve">05.04.05</t>
  </si>
  <si>
    <t xml:space="preserve">ATK dan Bahan Habis Pakai</t>
  </si>
  <si>
    <t xml:space="preserve">05.05.01</t>
  </si>
  <si>
    <t xml:space="preserve">Kertas F4</t>
  </si>
  <si>
    <t xml:space="preserve">05.05.02</t>
  </si>
  <si>
    <t xml:space="preserve">Kertas A4</t>
  </si>
  <si>
    <t xml:space="preserve">05.05.03</t>
  </si>
  <si>
    <t xml:space="preserve">Tinta Printer</t>
  </si>
  <si>
    <t xml:space="preserve">05.05.04</t>
  </si>
  <si>
    <t xml:space="preserve">Ballpoint</t>
  </si>
  <si>
    <t xml:space="preserve">05.05.05</t>
  </si>
  <si>
    <t xml:space="preserve">05.07</t>
  </si>
  <si>
    <t xml:space="preserve">Kegiatan Kemuridan</t>
  </si>
  <si>
    <t xml:space="preserve">05.06.01</t>
  </si>
  <si>
    <t xml:space="preserve">Pelaksanaan PHBI</t>
  </si>
  <si>
    <t xml:space="preserve">05.06.02</t>
  </si>
  <si>
    <t xml:space="preserve">Persiapan dan Pelaksanaan MUAMMAR</t>
  </si>
  <si>
    <t xml:space="preserve">05.06.03</t>
  </si>
  <si>
    <t xml:space="preserve">Lomba Akhir Tahun</t>
  </si>
  <si>
    <t xml:space="preserve">05.06.04</t>
  </si>
  <si>
    <t xml:space="preserve">Ujian al-Qur'an</t>
  </si>
  <si>
    <t xml:space="preserve">05.06.05</t>
  </si>
  <si>
    <t xml:space="preserve">Ikhtibar</t>
  </si>
  <si>
    <t xml:space="preserve">05.06.06</t>
  </si>
  <si>
    <t xml:space="preserve">Pengembangan Bakat dan Minat</t>
  </si>
  <si>
    <t xml:space="preserve">05.08</t>
  </si>
  <si>
    <t xml:space="preserve">05.06.07</t>
  </si>
  <si>
    <t xml:space="preserve">Ujian al-Miftah</t>
  </si>
  <si>
    <t xml:space="preserve">05.06.08</t>
  </si>
  <si>
    <t xml:space="preserve">Persiapan dan Pelaksanaan AKSARA</t>
  </si>
  <si>
    <t xml:space="preserve">05.06.09</t>
  </si>
  <si>
    <t xml:space="preserve">Alat Penunjang KBM</t>
  </si>
  <si>
    <t xml:space="preserve">05.07.01</t>
  </si>
  <si>
    <t xml:space="preserve">Kapur Tulis</t>
  </si>
  <si>
    <t xml:space="preserve">05.07.02</t>
  </si>
  <si>
    <t xml:space="preserve">Penghapus</t>
  </si>
  <si>
    <t xml:space="preserve">05.07.03</t>
  </si>
  <si>
    <t xml:space="preserve">Board Marker</t>
  </si>
  <si>
    <t xml:space="preserve">05.07.04</t>
  </si>
  <si>
    <t xml:space="preserve">Penggaris</t>
  </si>
  <si>
    <t xml:space="preserve">05.09</t>
  </si>
  <si>
    <t xml:space="preserve">05.07.05</t>
  </si>
  <si>
    <t xml:space="preserve">Transportasi dan Perjalanan Dinas</t>
  </si>
  <si>
    <t xml:space="preserve">05.08.01</t>
  </si>
  <si>
    <t xml:space="preserve">05.08.02</t>
  </si>
  <si>
    <t xml:space="preserve">Rapim IMDA</t>
  </si>
  <si>
    <t xml:space="preserve">05.08.03</t>
  </si>
  <si>
    <t xml:space="preserve">Rapim IMNI</t>
  </si>
  <si>
    <t xml:space="preserve">05.08.04</t>
  </si>
  <si>
    <t xml:space="preserve">Pelaksanaan MUAMMAR</t>
  </si>
  <si>
    <t xml:space="preserve">05.08.05</t>
  </si>
  <si>
    <t xml:space="preserve">Pelaksanaan AKSARA</t>
  </si>
  <si>
    <t xml:space="preserve">05.08.06</t>
  </si>
  <si>
    <t xml:space="preserve">Pengadaan Soal-soal ujian</t>
  </si>
  <si>
    <t xml:space="preserve">05.09.01</t>
  </si>
  <si>
    <t xml:space="preserve">Kebutuhan Pelaksanaan Tamrin Massal</t>
  </si>
  <si>
    <t xml:space="preserve">05.09.02</t>
  </si>
  <si>
    <t xml:space="preserve">FC Soal Tamrin Massal</t>
  </si>
  <si>
    <t xml:space="preserve">05.09.03</t>
  </si>
  <si>
    <t xml:space="preserve">Kebutuhan Pelaksanaan IMDA </t>
  </si>
  <si>
    <t xml:space="preserve">05.09.04</t>
  </si>
  <si>
    <t xml:space="preserve">Biaya Soal IMDA</t>
  </si>
  <si>
    <t xml:space="preserve">05.09.05</t>
  </si>
  <si>
    <t xml:space="preserve">FC Soal Pra IMNI</t>
  </si>
  <si>
    <t xml:space="preserve">05.10</t>
  </si>
  <si>
    <t xml:space="preserve">05.09.06</t>
  </si>
  <si>
    <t xml:space="preserve">Kebutuhan IMNI</t>
  </si>
  <si>
    <t xml:space="preserve">05.09.07</t>
  </si>
  <si>
    <t xml:space="preserve">Biaya Soal IMNI</t>
  </si>
  <si>
    <t xml:space="preserve">05.09.08</t>
  </si>
  <si>
    <t xml:space="preserve">Kebutuhan Pelaksanaan IMNI</t>
  </si>
  <si>
    <t xml:space="preserve">05.09.09</t>
  </si>
  <si>
    <t xml:space="preserve">Biaya Pra IMNI</t>
  </si>
  <si>
    <t xml:space="preserve">05.09.10</t>
  </si>
  <si>
    <t xml:space="preserve">FC Soal Harian</t>
  </si>
  <si>
    <t xml:space="preserve">05.09.11</t>
  </si>
  <si>
    <t xml:space="preserve">FC Soal Mingguan</t>
  </si>
  <si>
    <t xml:space="preserve">05.11</t>
  </si>
  <si>
    <t xml:space="preserve">05.09.12</t>
  </si>
  <si>
    <t xml:space="preserve">05.11.01</t>
  </si>
  <si>
    <t xml:space="preserve">Biaya Daya dan Jasa</t>
  </si>
  <si>
    <t xml:space="preserve">05.11.03</t>
  </si>
  <si>
    <t xml:space="preserve">05.10.01</t>
  </si>
  <si>
    <t xml:space="preserve">Pembayaran tagihan Listrik</t>
  </si>
  <si>
    <t xml:space="preserve">05.10.02</t>
  </si>
  <si>
    <t xml:space="preserve">Pulsa Kuota Internet</t>
  </si>
  <si>
    <t xml:space="preserve">05.10.03</t>
  </si>
  <si>
    <t xml:space="preserve">BBM</t>
  </si>
  <si>
    <t xml:space="preserve">05.12</t>
  </si>
  <si>
    <t xml:space="preserve">05.10.04</t>
  </si>
  <si>
    <t xml:space="preserve">Kegiatan Ekstrakurikuler</t>
  </si>
  <si>
    <t xml:space="preserve">Al-banjari</t>
  </si>
  <si>
    <t xml:space="preserve">05.11.02</t>
  </si>
  <si>
    <t xml:space="preserve">Pencak Silat</t>
  </si>
  <si>
    <t xml:space="preserve">05.13</t>
  </si>
  <si>
    <t xml:space="preserve">Laporan Pertanggung Jawaban</t>
  </si>
  <si>
    <t xml:space="preserve">05.13.03</t>
  </si>
  <si>
    <t xml:space="preserve">Hadiah IMDA dan Bintang Pelajar</t>
  </si>
  <si>
    <t xml:space="preserve">05.12.01</t>
  </si>
  <si>
    <t xml:space="preserve">Biaya Cetak dan Penggandaan Program Madrasah</t>
  </si>
  <si>
    <t xml:space="preserve">05.13.01</t>
  </si>
  <si>
    <t xml:space="preserve">05.12.02</t>
  </si>
  <si>
    <t xml:space="preserve">Biaya Cetak dan Penggandaan LPJ Keuangan</t>
  </si>
  <si>
    <t xml:space="preserve">05.12.03</t>
  </si>
  <si>
    <t xml:space="preserve">Lain-lain</t>
  </si>
  <si>
    <t xml:space="preserve">TOTAL RENCANA ANGGARAN BELANJA</t>
  </si>
  <si>
    <t xml:space="preserve">Pemeliharaan Sarana Prasarana</t>
  </si>
  <si>
    <t xml:space="preserve">05.13.02</t>
  </si>
  <si>
    <t xml:space="preserve">Pelaksanaan Akreditasi</t>
  </si>
  <si>
    <t xml:space="preserve">Hadiah IMDA</t>
  </si>
  <si>
    <t xml:space="preserve">04</t>
  </si>
  <si>
    <t xml:space="preserve">05</t>
  </si>
  <si>
    <t xml:space="preserve">Saldo Akhir</t>
  </si>
  <si>
    <t xml:space="preserve">Mengetahui ;</t>
  </si>
  <si>
    <t xml:space="preserve">Kepala MTQ Darur Rohman</t>
  </si>
  <si>
    <t xml:space="preserve">MARBIDIN</t>
  </si>
  <si>
    <t xml:space="preserve">MOH. RUDI</t>
  </si>
  <si>
    <t xml:space="preserve">REALISASI ANGGARAN PENDAPATAN DAN BELANJA MADRASAH</t>
  </si>
  <si>
    <t xml:space="preserve">MMU IBTIDAIYAH B-45 ANGSANAH BARAT</t>
  </si>
  <si>
    <t xml:space="preserve">TAHUN PELAJARAN 1443-1444 H</t>
  </si>
  <si>
    <t xml:space="preserve">REALISASI ANGGARAN PENDAPATAN</t>
  </si>
  <si>
    <t xml:space="preserve">TOTAL REALISASI ANGGARAN PENDAPATAN</t>
  </si>
  <si>
    <t xml:space="preserve">REALISASI ANGGARAN BELANJA</t>
  </si>
  <si>
    <t xml:space="preserve">TOTAL REALISASI ANGGARAN BELANJA</t>
  </si>
  <si>
    <t xml:space="preserve">Kepala MMU IBT B-45 Angsanah Barat</t>
  </si>
  <si>
    <t xml:space="preserve">Bendahara MMU IBT B-45 Angsanah Barat</t>
  </si>
  <si>
    <t xml:space="preserve">ACH. HADDAR SYAFI'E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</si>
</sst>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_-* #,##0_-;\-* #,##0_-;_-* \-_-;_-@_-"/>
  </numFmts>
  <fonts count="15">
    <font>
      <sz val="9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mbria"/>
      <family val="1"/>
      <charset val="1"/>
    </font>
    <font>
      <b val="true"/>
      <sz val="12"/>
      <color theme="1"/>
      <name val="Cambria"/>
      <family val="1"/>
      <charset val="1"/>
    </font>
    <font>
      <b val="true"/>
      <sz val="9"/>
      <color theme="1"/>
      <name val="Cambria"/>
      <family val="1"/>
      <charset val="1"/>
    </font>
    <font>
      <b val="true"/>
      <sz val="12"/>
      <color theme="0"/>
      <name val="Cambria"/>
      <family val="1"/>
      <charset val="1"/>
    </font>
    <font>
      <b val="true"/>
      <sz val="10"/>
      <color theme="0"/>
      <name val="Cambria"/>
      <family val="1"/>
      <charset val="1"/>
    </font>
    <font>
      <b val="true"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12"/>
      <color theme="1"/>
      <name val="Cambria"/>
      <family val="1"/>
      <charset val="1"/>
    </font>
    <font>
      <b val="true"/>
      <sz val="10"/>
      <name val="Cambria"/>
      <family val="1"/>
      <charset val="1"/>
    </font>
    <font>
      <sz val="10"/>
      <name val="Cambria"/>
      <family val="1"/>
      <charset val="1"/>
    </font>
    <font>
      <b val="true"/>
      <sz val="11"/>
      <color theme="0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3499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theme="2" tint="-0.15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tru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2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7" fillId="2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9" fillId="4" borderId="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9" fillId="4" borderId="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9" fillId="4" borderId="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5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9" fillId="0" borderId="1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9" fillId="0" borderId="1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5" fontId="10" fillId="0" borderId="1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9" fillId="4" borderId="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10" fillId="0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9" fillId="0" borderId="5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2" fillId="4" borderId="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2" fillId="4" borderId="7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9" fillId="4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13" fillId="0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12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9" fillId="0" borderId="1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14" fillId="2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676440</xdr:colOff>
      <xdr:row>143</xdr:row>
      <xdr:rowOff>162000</xdr:rowOff>
    </xdr:from>
    <xdr:to>
      <xdr:col>7</xdr:col>
      <xdr:colOff>75960</xdr:colOff>
      <xdr:row>147</xdr:row>
      <xdr:rowOff>47520</xdr:rowOff>
    </xdr:to>
    <xdr:pic>
      <xdr:nvPicPr>
        <xdr:cNvPr id="1" name="Picture 1"/>
        <xdr:cNvPicPr/>
      </xdr:nvPicPr>
      <xdr:blipFill>
        <a:blip r:embed="rId1"/>
        <a:srcRect l="17323" t="27735" r="21957" b="27184"/>
        <a:stretch/>
      </xdr:blipFill>
      <xdr:spPr>
        <a:xfrm>
          <a:off x="5934240" y="26559720"/>
          <a:ext cx="1437840" cy="64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457560</xdr:colOff>
      <xdr:row>143</xdr:row>
      <xdr:rowOff>143280</xdr:rowOff>
    </xdr:from>
    <xdr:to>
      <xdr:col>2</xdr:col>
      <xdr:colOff>1542960</xdr:colOff>
      <xdr:row>146</xdr:row>
      <xdr:rowOff>162000</xdr:rowOff>
    </xdr:to>
    <xdr:pic>
      <xdr:nvPicPr>
        <xdr:cNvPr id="2" name="Picture 2"/>
        <xdr:cNvPicPr/>
      </xdr:nvPicPr>
      <xdr:blipFill>
        <a:blip r:embed="rId2">
          <a:biLevel thresh="50000"/>
        </a:blip>
        <a:srcRect l="13627" t="31381" r="6377" b="22791"/>
        <a:stretch/>
      </xdr:blipFill>
      <xdr:spPr>
        <a:xfrm rot="10800000">
          <a:off x="736920" y="26541000"/>
          <a:ext cx="1618920" cy="590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3" activeCellId="0" sqref="A3"/>
    </sheetView>
  </sheetViews>
  <sheetFormatPr defaultColWidth="8.90234375" defaultRowHeight="11.25" customHeight="false" zeroHeight="false" outlineLevelRow="0" outlineLevelCol="0"/>
  <cols>
    <col collapsed="false" customWidth="true" hidden="false" outlineLevel="0" max="1" min="1" style="1" width="4.4"/>
    <col collapsed="false" customWidth="true" hidden="false" outlineLevel="0" max="2" min="2" style="1" width="8.4"/>
    <col collapsed="false" customWidth="true" hidden="false" outlineLevel="0" max="3" min="3" style="1" width="39.3"/>
    <col collapsed="false" customWidth="true" hidden="false" outlineLevel="0" max="4" min="4" style="1" width="15.9"/>
    <col collapsed="false" customWidth="true" hidden="false" outlineLevel="0" max="5" min="5" style="1" width="13.4"/>
    <col collapsed="false" customWidth="true" hidden="false" outlineLevel="0" max="6" min="6" style="1" width="9.1"/>
    <col collapsed="false" customWidth="true" hidden="false" outlineLevel="0" max="7" min="7" style="1" width="9.6"/>
    <col collapsed="false" customWidth="true" hidden="false" outlineLevel="0" max="8" min="8" style="1" width="12.3"/>
    <col collapsed="false" customWidth="true" hidden="false" outlineLevel="0" max="10" min="9" style="1" width="13.9"/>
    <col collapsed="false" customWidth="false" hidden="false" outlineLevel="0" max="11" min="11" style="1" width="8.9"/>
    <col collapsed="false" customWidth="true" hidden="false" outlineLevel="0" max="12" min="12" style="1" width="7.4"/>
    <col collapsed="false" customWidth="true" hidden="false" outlineLevel="0" max="13" min="13" style="1" width="43.3"/>
    <col collapsed="false" customWidth="true" hidden="false" outlineLevel="0" max="14" min="14" style="1" width="18.4"/>
    <col collapsed="false" customWidth="true" hidden="false" outlineLevel="0" max="15" min="15" style="1" width="7.6"/>
    <col collapsed="false" customWidth="true" hidden="false" outlineLevel="0" max="16" min="16" style="1" width="18.3"/>
    <col collapsed="false" customWidth="false" hidden="false" outlineLevel="0" max="16384" min="17" style="1" width="8.9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3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3"/>
    </row>
    <row r="4" customFormat="false" ht="11.2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3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6"/>
      <c r="L5" s="7" t="s">
        <v>5</v>
      </c>
      <c r="M5" s="7"/>
      <c r="N5" s="7"/>
      <c r="O5" s="7"/>
      <c r="P5" s="7"/>
    </row>
    <row r="6" customFormat="false" ht="11.25" hidden="false" customHeight="false" outlineLevel="0" collapsed="false">
      <c r="L6" s="7"/>
      <c r="M6" s="7"/>
      <c r="N6" s="7"/>
      <c r="O6" s="7"/>
      <c r="P6" s="7"/>
    </row>
    <row r="7" customFormat="false" ht="21.75" hidden="false" customHeight="true" outlineLevel="0" collapsed="false">
      <c r="A7" s="8" t="s">
        <v>6</v>
      </c>
      <c r="B7" s="8" t="s">
        <v>7</v>
      </c>
      <c r="C7" s="8" t="s">
        <v>8</v>
      </c>
      <c r="D7" s="9" t="s">
        <v>9</v>
      </c>
      <c r="E7" s="10" t="s">
        <v>10</v>
      </c>
      <c r="F7" s="10" t="s">
        <v>11</v>
      </c>
      <c r="G7" s="10" t="s">
        <v>12</v>
      </c>
      <c r="H7" s="11" t="s">
        <v>13</v>
      </c>
      <c r="I7" s="10" t="s">
        <v>14</v>
      </c>
      <c r="J7" s="12"/>
      <c r="L7" s="7" t="s">
        <v>7</v>
      </c>
      <c r="M7" s="7" t="s">
        <v>8</v>
      </c>
      <c r="N7" s="7" t="s">
        <v>10</v>
      </c>
      <c r="O7" s="7" t="s">
        <v>12</v>
      </c>
      <c r="P7" s="13" t="s">
        <v>9</v>
      </c>
    </row>
    <row r="8" customFormat="false" ht="11.25" hidden="false" customHeight="true" outlineLevel="0" collapsed="false">
      <c r="A8" s="8"/>
      <c r="B8" s="8"/>
      <c r="C8" s="8"/>
      <c r="D8" s="9"/>
      <c r="E8" s="10"/>
      <c r="F8" s="10"/>
      <c r="G8" s="10"/>
      <c r="H8" s="11"/>
      <c r="I8" s="10"/>
      <c r="J8" s="12"/>
      <c r="L8" s="14" t="s">
        <v>15</v>
      </c>
      <c r="M8" s="15" t="s">
        <v>16</v>
      </c>
      <c r="N8" s="16" t="s">
        <v>17</v>
      </c>
      <c r="O8" s="17" t="s">
        <v>18</v>
      </c>
      <c r="P8" s="16" t="s">
        <v>19</v>
      </c>
    </row>
    <row r="9" customFormat="false" ht="12" hidden="false" customHeight="true" outlineLevel="0" collapsed="false">
      <c r="A9" s="18" t="n">
        <v>1</v>
      </c>
      <c r="B9" s="15"/>
      <c r="C9" s="19"/>
      <c r="D9" s="19"/>
      <c r="E9" s="19"/>
      <c r="F9" s="14"/>
      <c r="G9" s="14"/>
      <c r="H9" s="20"/>
      <c r="I9" s="20"/>
      <c r="J9" s="21"/>
      <c r="L9" s="14" t="s">
        <v>20</v>
      </c>
      <c r="M9" s="15" t="s">
        <v>21</v>
      </c>
      <c r="N9" s="22" t="s">
        <v>22</v>
      </c>
      <c r="O9" s="17" t="s">
        <v>23</v>
      </c>
      <c r="P9" s="16" t="s">
        <v>24</v>
      </c>
    </row>
    <row r="10" customFormat="false" ht="12" hidden="false" customHeight="true" outlineLevel="0" collapsed="false">
      <c r="A10" s="18"/>
      <c r="B10" s="15"/>
      <c r="C10" s="19"/>
      <c r="D10" s="14"/>
      <c r="E10" s="19"/>
      <c r="F10" s="14"/>
      <c r="G10" s="14"/>
      <c r="H10" s="20"/>
      <c r="I10" s="20"/>
      <c r="J10" s="21"/>
      <c r="L10" s="14" t="s">
        <v>25</v>
      </c>
      <c r="M10" s="15" t="s">
        <v>26</v>
      </c>
      <c r="N10" s="22" t="s">
        <v>27</v>
      </c>
      <c r="O10" s="17" t="s">
        <v>28</v>
      </c>
      <c r="P10" s="16" t="s">
        <v>29</v>
      </c>
    </row>
    <row r="11" customFormat="false" ht="12" hidden="false" customHeight="true" outlineLevel="0" collapsed="false">
      <c r="A11" s="18"/>
      <c r="B11" s="15"/>
      <c r="C11" s="19"/>
      <c r="D11" s="14"/>
      <c r="E11" s="19"/>
      <c r="F11" s="14"/>
      <c r="G11" s="14"/>
      <c r="H11" s="20"/>
      <c r="I11" s="20"/>
      <c r="J11" s="21"/>
      <c r="L11" s="14" t="s">
        <v>30</v>
      </c>
      <c r="M11" s="15" t="s">
        <v>31</v>
      </c>
      <c r="N11" s="22" t="s">
        <v>32</v>
      </c>
      <c r="O11" s="17" t="s">
        <v>33</v>
      </c>
      <c r="P11" s="16" t="s">
        <v>34</v>
      </c>
    </row>
    <row r="12" customFormat="false" ht="12" hidden="false" customHeight="true" outlineLevel="0" collapsed="false">
      <c r="A12" s="18"/>
      <c r="B12" s="15"/>
      <c r="C12" s="19"/>
      <c r="D12" s="14"/>
      <c r="E12" s="19"/>
      <c r="F12" s="14"/>
      <c r="G12" s="14"/>
      <c r="H12" s="20"/>
      <c r="I12" s="20"/>
      <c r="J12" s="21"/>
      <c r="L12" s="14" t="s">
        <v>35</v>
      </c>
      <c r="M12" s="15" t="s">
        <v>36</v>
      </c>
      <c r="N12" s="22" t="s">
        <v>37</v>
      </c>
      <c r="O12" s="17" t="s">
        <v>38</v>
      </c>
      <c r="P12" s="16" t="s">
        <v>39</v>
      </c>
    </row>
    <row r="13" customFormat="false" ht="12" hidden="false" customHeight="true" outlineLevel="0" collapsed="false">
      <c r="A13" s="18"/>
      <c r="B13" s="15"/>
      <c r="C13" s="19"/>
      <c r="D13" s="14"/>
      <c r="E13" s="19"/>
      <c r="F13" s="14"/>
      <c r="G13" s="14"/>
      <c r="H13" s="20"/>
      <c r="I13" s="20"/>
      <c r="J13" s="21"/>
      <c r="L13" s="14" t="s">
        <v>40</v>
      </c>
      <c r="M13" s="15" t="s">
        <v>41</v>
      </c>
      <c r="N13" s="22" t="s">
        <v>42</v>
      </c>
      <c r="O13" s="17" t="s">
        <v>43</v>
      </c>
      <c r="P13" s="16" t="s">
        <v>44</v>
      </c>
    </row>
    <row r="14" customFormat="false" ht="12" hidden="false" customHeight="true" outlineLevel="0" collapsed="false">
      <c r="A14" s="18"/>
      <c r="B14" s="15"/>
      <c r="C14" s="19"/>
      <c r="D14" s="14"/>
      <c r="E14" s="19"/>
      <c r="F14" s="23"/>
      <c r="G14" s="14"/>
      <c r="H14" s="20"/>
      <c r="I14" s="20"/>
      <c r="J14" s="21"/>
      <c r="L14" s="14" t="s">
        <v>45</v>
      </c>
      <c r="M14" s="15" t="s">
        <v>46</v>
      </c>
      <c r="N14" s="22" t="s">
        <v>27</v>
      </c>
      <c r="O14" s="17"/>
      <c r="P14" s="16" t="s">
        <v>47</v>
      </c>
    </row>
    <row r="15" customFormat="false" ht="12.75" hidden="false" customHeight="true" outlineLevel="0" collapsed="false">
      <c r="A15" s="18"/>
      <c r="B15" s="15"/>
      <c r="C15" s="19"/>
      <c r="D15" s="14"/>
      <c r="E15" s="19"/>
      <c r="F15" s="23"/>
      <c r="G15" s="14"/>
      <c r="H15" s="20"/>
      <c r="I15" s="20"/>
      <c r="J15" s="21"/>
      <c r="L15" s="14" t="s">
        <v>48</v>
      </c>
      <c r="M15" s="15" t="s">
        <v>49</v>
      </c>
      <c r="N15" s="22" t="s">
        <v>50</v>
      </c>
      <c r="O15" s="17"/>
      <c r="P15" s="16"/>
    </row>
    <row r="16" customFormat="false" ht="12" hidden="false" customHeight="true" outlineLevel="0" collapsed="false">
      <c r="A16" s="18"/>
      <c r="B16" s="15"/>
      <c r="C16" s="19"/>
      <c r="D16" s="14"/>
      <c r="E16" s="19"/>
      <c r="F16" s="23"/>
      <c r="G16" s="14"/>
      <c r="H16" s="20"/>
      <c r="I16" s="20"/>
      <c r="J16" s="24"/>
      <c r="L16" s="14" t="s">
        <v>51</v>
      </c>
      <c r="M16" s="15" t="s">
        <v>52</v>
      </c>
      <c r="N16" s="22" t="s">
        <v>53</v>
      </c>
      <c r="O16" s="17"/>
      <c r="P16" s="16"/>
    </row>
    <row r="17" customFormat="false" ht="12" hidden="false" customHeight="true" outlineLevel="0" collapsed="false">
      <c r="A17" s="18"/>
      <c r="B17" s="15"/>
      <c r="C17" s="19"/>
      <c r="D17" s="14"/>
      <c r="E17" s="19"/>
      <c r="F17" s="14"/>
      <c r="G17" s="14"/>
      <c r="H17" s="20"/>
      <c r="I17" s="20"/>
      <c r="J17" s="24"/>
      <c r="L17" s="14" t="s">
        <v>54</v>
      </c>
      <c r="M17" s="25" t="s">
        <v>55</v>
      </c>
      <c r="N17" s="22"/>
      <c r="O17" s="17"/>
      <c r="P17" s="16"/>
    </row>
    <row r="18" customFormat="false" ht="12" hidden="false" customHeight="true" outlineLevel="0" collapsed="false">
      <c r="A18" s="18"/>
      <c r="B18" s="15"/>
      <c r="C18" s="19"/>
      <c r="D18" s="14"/>
      <c r="E18" s="19"/>
      <c r="F18" s="14"/>
      <c r="G18" s="14"/>
      <c r="H18" s="20"/>
      <c r="I18" s="20"/>
      <c r="J18" s="24"/>
      <c r="L18" s="14" t="s">
        <v>56</v>
      </c>
      <c r="M18" s="25" t="s">
        <v>57</v>
      </c>
      <c r="N18" s="22"/>
      <c r="O18" s="17"/>
      <c r="P18" s="16"/>
    </row>
    <row r="19" customFormat="false" ht="12" hidden="false" customHeight="true" outlineLevel="0" collapsed="false">
      <c r="A19" s="18"/>
      <c r="B19" s="15"/>
      <c r="C19" s="19"/>
      <c r="D19" s="14"/>
      <c r="E19" s="19"/>
      <c r="F19" s="23"/>
      <c r="G19" s="14"/>
      <c r="H19" s="20"/>
      <c r="I19" s="20"/>
      <c r="J19" s="24"/>
      <c r="L19" s="14" t="s">
        <v>58</v>
      </c>
      <c r="M19" s="25" t="s">
        <v>59</v>
      </c>
      <c r="N19" s="22"/>
      <c r="O19" s="17"/>
      <c r="P19" s="16"/>
    </row>
    <row r="20" customFormat="false" ht="14.25" hidden="false" customHeight="true" outlineLevel="0" collapsed="false">
      <c r="A20" s="18"/>
      <c r="B20" s="15"/>
      <c r="C20" s="19"/>
      <c r="D20" s="14"/>
      <c r="E20" s="19"/>
      <c r="F20" s="23"/>
      <c r="G20" s="14"/>
      <c r="H20" s="20"/>
      <c r="I20" s="20"/>
      <c r="O20" s="26"/>
      <c r="P20" s="27"/>
    </row>
    <row r="21" customFormat="false" ht="12.75" hidden="false" customHeight="true" outlineLevel="0" collapsed="false">
      <c r="A21" s="18"/>
      <c r="B21" s="28"/>
      <c r="C21" s="19"/>
      <c r="D21" s="29"/>
      <c r="E21" s="30"/>
      <c r="F21" s="31"/>
      <c r="G21" s="29"/>
      <c r="H21" s="32"/>
      <c r="I21" s="20"/>
      <c r="J21" s="6"/>
      <c r="L21" s="7" t="s">
        <v>60</v>
      </c>
      <c r="M21" s="7"/>
      <c r="N21" s="7"/>
      <c r="O21" s="7"/>
      <c r="P21" s="7"/>
    </row>
    <row r="22" customFormat="false" ht="16.5" hidden="false" customHeight="true" outlineLevel="0" collapsed="false">
      <c r="A22" s="33" t="s">
        <v>61</v>
      </c>
      <c r="B22" s="33"/>
      <c r="C22" s="33"/>
      <c r="D22" s="33"/>
      <c r="E22" s="33"/>
      <c r="F22" s="33"/>
      <c r="G22" s="33"/>
      <c r="H22" s="33"/>
      <c r="I22" s="34" t="n">
        <f aca="false">SUM(I9:I21)</f>
        <v>0</v>
      </c>
      <c r="L22" s="7"/>
      <c r="M22" s="7"/>
      <c r="N22" s="7"/>
      <c r="O22" s="7"/>
      <c r="P22" s="7"/>
    </row>
    <row r="23" customFormat="false" ht="26.85" hidden="false" customHeight="false" outlineLevel="0" collapsed="false">
      <c r="J23" s="3"/>
      <c r="L23" s="7" t="s">
        <v>62</v>
      </c>
      <c r="M23" s="35" t="s">
        <v>63</v>
      </c>
      <c r="N23" s="13" t="s">
        <v>9</v>
      </c>
      <c r="O23" s="7" t="s">
        <v>12</v>
      </c>
      <c r="P23" s="7" t="s">
        <v>10</v>
      </c>
    </row>
    <row r="24" customFormat="false" ht="16.5" hidden="false" customHeight="true" outlineLevel="0" collapsed="false">
      <c r="A24" s="3" t="s">
        <v>64</v>
      </c>
      <c r="B24" s="5" t="s">
        <v>65</v>
      </c>
      <c r="C24" s="5"/>
      <c r="D24" s="5"/>
      <c r="E24" s="5"/>
      <c r="F24" s="5"/>
      <c r="G24" s="5"/>
      <c r="H24" s="5"/>
      <c r="I24" s="5"/>
      <c r="J24" s="36"/>
      <c r="L24" s="37" t="s">
        <v>66</v>
      </c>
      <c r="M24" s="37" t="s">
        <v>67</v>
      </c>
      <c r="N24" s="38"/>
      <c r="O24" s="14" t="s">
        <v>18</v>
      </c>
      <c r="P24" s="15" t="s">
        <v>68</v>
      </c>
    </row>
    <row r="25" customFormat="false" ht="12" hidden="false" customHeight="false" outlineLevel="0" collapsed="false">
      <c r="J25" s="21"/>
      <c r="L25" s="15" t="s">
        <v>69</v>
      </c>
      <c r="M25" s="15" t="s">
        <v>70</v>
      </c>
      <c r="N25" s="16" t="s">
        <v>19</v>
      </c>
      <c r="O25" s="17" t="s">
        <v>23</v>
      </c>
      <c r="P25" s="16" t="s">
        <v>71</v>
      </c>
    </row>
    <row r="26" customFormat="false" ht="50.7" hidden="false" customHeight="false" outlineLevel="0" collapsed="false">
      <c r="A26" s="8" t="s">
        <v>6</v>
      </c>
      <c r="B26" s="8" t="s">
        <v>7</v>
      </c>
      <c r="C26" s="8" t="s">
        <v>8</v>
      </c>
      <c r="D26" s="9" t="s">
        <v>9</v>
      </c>
      <c r="E26" s="8" t="s">
        <v>10</v>
      </c>
      <c r="F26" s="8" t="s">
        <v>11</v>
      </c>
      <c r="G26" s="8" t="s">
        <v>12</v>
      </c>
      <c r="H26" s="9" t="s">
        <v>13</v>
      </c>
      <c r="I26" s="8" t="s">
        <v>14</v>
      </c>
      <c r="J26" s="21"/>
      <c r="L26" s="15" t="s">
        <v>72</v>
      </c>
      <c r="M26" s="15" t="s">
        <v>73</v>
      </c>
      <c r="N26" s="16" t="s">
        <v>24</v>
      </c>
      <c r="O26" s="17" t="s">
        <v>74</v>
      </c>
      <c r="P26" s="16" t="s">
        <v>17</v>
      </c>
    </row>
    <row r="27" customFormat="false" ht="12.65" hidden="false" customHeight="false" outlineLevel="0" collapsed="false">
      <c r="A27" s="39" t="n">
        <v>2</v>
      </c>
      <c r="B27" s="40" t="s">
        <v>66</v>
      </c>
      <c r="C27" s="41" t="str">
        <f aca="false">IFERROR(VLOOKUP(B27,$L$24:$M$28,2)," ")</f>
        <v>Rapat-Rapat</v>
      </c>
      <c r="D27" s="42"/>
      <c r="E27" s="42"/>
      <c r="F27" s="42"/>
      <c r="G27" s="42"/>
      <c r="H27" s="42"/>
      <c r="I27" s="43"/>
      <c r="J27" s="21"/>
      <c r="L27" s="15" t="s">
        <v>75</v>
      </c>
      <c r="M27" s="15" t="s">
        <v>76</v>
      </c>
      <c r="N27" s="16" t="s">
        <v>29</v>
      </c>
      <c r="O27" s="17" t="s">
        <v>77</v>
      </c>
      <c r="P27" s="16" t="s">
        <v>78</v>
      </c>
    </row>
    <row r="28" customFormat="false" ht="12.65" hidden="false" customHeight="false" outlineLevel="0" collapsed="false">
      <c r="A28" s="39"/>
      <c r="B28" s="44"/>
      <c r="C28" s="45"/>
      <c r="D28" s="46"/>
      <c r="E28" s="44"/>
      <c r="F28" s="47"/>
      <c r="G28" s="48"/>
      <c r="H28" s="49"/>
      <c r="I28" s="49"/>
      <c r="J28" s="21"/>
      <c r="L28" s="15" t="s">
        <v>79</v>
      </c>
      <c r="M28" s="50" t="s">
        <v>80</v>
      </c>
      <c r="N28" s="16" t="s">
        <v>39</v>
      </c>
      <c r="O28" s="17" t="s">
        <v>81</v>
      </c>
      <c r="P28" s="16" t="s">
        <v>82</v>
      </c>
    </row>
    <row r="29" customFormat="false" ht="15" hidden="false" customHeight="true" outlineLevel="0" collapsed="false">
      <c r="A29" s="39"/>
      <c r="B29" s="15"/>
      <c r="C29" s="51"/>
      <c r="D29" s="52"/>
      <c r="E29" s="15"/>
      <c r="F29" s="23"/>
      <c r="G29" s="14"/>
      <c r="H29" s="20"/>
      <c r="I29" s="49"/>
      <c r="J29" s="21"/>
      <c r="L29" s="37" t="s">
        <v>83</v>
      </c>
      <c r="M29" s="53" t="s">
        <v>84</v>
      </c>
      <c r="N29" s="16" t="s">
        <v>34</v>
      </c>
      <c r="O29" s="17" t="s">
        <v>85</v>
      </c>
      <c r="P29" s="16" t="s">
        <v>86</v>
      </c>
    </row>
    <row r="30" customFormat="false" ht="14.25" hidden="false" customHeight="true" outlineLevel="0" collapsed="false">
      <c r="A30" s="39"/>
      <c r="B30" s="15"/>
      <c r="C30" s="51"/>
      <c r="D30" s="52"/>
      <c r="E30" s="15"/>
      <c r="F30" s="23"/>
      <c r="G30" s="14"/>
      <c r="H30" s="20"/>
      <c r="I30" s="49"/>
      <c r="J30" s="54"/>
      <c r="L30" s="55" t="s">
        <v>87</v>
      </c>
      <c r="M30" s="15" t="s">
        <v>88</v>
      </c>
      <c r="N30" s="16" t="s">
        <v>44</v>
      </c>
      <c r="O30" s="56" t="s">
        <v>89</v>
      </c>
      <c r="P30" s="22" t="s">
        <v>90</v>
      </c>
    </row>
    <row r="31" customFormat="false" ht="15" hidden="false" customHeight="false" outlineLevel="0" collapsed="false">
      <c r="A31" s="39"/>
      <c r="B31" s="15"/>
      <c r="C31" s="51"/>
      <c r="D31" s="52"/>
      <c r="E31" s="15"/>
      <c r="F31" s="23"/>
      <c r="G31" s="14"/>
      <c r="H31" s="20"/>
      <c r="I31" s="49"/>
      <c r="J31" s="36"/>
      <c r="L31" s="55" t="s">
        <v>91</v>
      </c>
      <c r="M31" s="15" t="s">
        <v>92</v>
      </c>
      <c r="N31" s="16" t="s">
        <v>47</v>
      </c>
      <c r="O31" s="56" t="s">
        <v>93</v>
      </c>
      <c r="P31" s="22" t="s">
        <v>94</v>
      </c>
    </row>
    <row r="32" customFormat="false" ht="15" hidden="false" customHeight="false" outlineLevel="0" collapsed="false">
      <c r="A32" s="39"/>
      <c r="B32" s="57"/>
      <c r="C32" s="51"/>
      <c r="D32" s="58"/>
      <c r="E32" s="57"/>
      <c r="F32" s="59"/>
      <c r="G32" s="60"/>
      <c r="H32" s="61"/>
      <c r="I32" s="49"/>
      <c r="J32" s="21"/>
      <c r="L32" s="55" t="s">
        <v>95</v>
      </c>
      <c r="M32" s="15" t="s">
        <v>96</v>
      </c>
      <c r="N32" s="22"/>
      <c r="O32" s="56" t="s">
        <v>97</v>
      </c>
      <c r="P32" s="22" t="s">
        <v>98</v>
      </c>
    </row>
    <row r="33" customFormat="false" ht="15" hidden="false" customHeight="false" outlineLevel="0" collapsed="false">
      <c r="A33" s="39"/>
      <c r="B33" s="62" t="s">
        <v>99</v>
      </c>
      <c r="C33" s="62"/>
      <c r="D33" s="62"/>
      <c r="E33" s="62"/>
      <c r="F33" s="62"/>
      <c r="G33" s="62"/>
      <c r="H33" s="62"/>
      <c r="I33" s="63" t="n">
        <f aca="false">SUM(I28:I32)</f>
        <v>0</v>
      </c>
      <c r="J33" s="21"/>
      <c r="L33" s="55" t="s">
        <v>100</v>
      </c>
      <c r="M33" s="15" t="s">
        <v>101</v>
      </c>
      <c r="N33" s="22"/>
      <c r="O33" s="56" t="s">
        <v>102</v>
      </c>
      <c r="P33" s="22" t="s">
        <v>103</v>
      </c>
    </row>
    <row r="34" customFormat="false" ht="15" hidden="false" customHeight="false" outlineLevel="0" collapsed="false">
      <c r="A34" s="39"/>
      <c r="B34" s="40" t="s">
        <v>83</v>
      </c>
      <c r="C34" s="41" t="str">
        <f aca="false">IFERROR(VLOOKUP(B34,$L$29:$M$62,2)," ")</f>
        <v>Inventaris Madrasah</v>
      </c>
      <c r="D34" s="42"/>
      <c r="E34" s="42"/>
      <c r="F34" s="42"/>
      <c r="G34" s="42"/>
      <c r="H34" s="42"/>
      <c r="I34" s="43"/>
      <c r="J34" s="21"/>
      <c r="L34" s="55" t="s">
        <v>104</v>
      </c>
      <c r="M34" s="15" t="s">
        <v>105</v>
      </c>
      <c r="N34" s="22"/>
      <c r="O34" s="56" t="s">
        <v>106</v>
      </c>
      <c r="P34" s="22" t="s">
        <v>107</v>
      </c>
    </row>
    <row r="35" customFormat="false" ht="15" hidden="false" customHeight="false" outlineLevel="0" collapsed="false">
      <c r="A35" s="39"/>
      <c r="B35" s="44"/>
      <c r="C35" s="45"/>
      <c r="D35" s="46"/>
      <c r="E35" s="44"/>
      <c r="F35" s="47"/>
      <c r="G35" s="48"/>
      <c r="H35" s="49"/>
      <c r="I35" s="49"/>
      <c r="J35" s="21"/>
      <c r="L35" s="55" t="s">
        <v>108</v>
      </c>
      <c r="M35" s="15" t="s">
        <v>109</v>
      </c>
      <c r="N35" s="22"/>
      <c r="O35" s="56" t="s">
        <v>110</v>
      </c>
      <c r="P35" s="16" t="s">
        <v>111</v>
      </c>
    </row>
    <row r="36" customFormat="false" ht="15" hidden="false" customHeight="false" outlineLevel="0" collapsed="false">
      <c r="A36" s="39"/>
      <c r="B36" s="15"/>
      <c r="C36" s="19"/>
      <c r="D36" s="52"/>
      <c r="E36" s="15"/>
      <c r="F36" s="23"/>
      <c r="G36" s="14"/>
      <c r="H36" s="20"/>
      <c r="I36" s="49"/>
      <c r="J36" s="21"/>
      <c r="L36" s="55" t="s">
        <v>112</v>
      </c>
      <c r="M36" s="15" t="s">
        <v>113</v>
      </c>
      <c r="N36" s="22"/>
      <c r="O36" s="56" t="s">
        <v>114</v>
      </c>
      <c r="P36" s="22" t="s">
        <v>115</v>
      </c>
    </row>
    <row r="37" customFormat="false" ht="15" hidden="false" customHeight="false" outlineLevel="0" collapsed="false">
      <c r="A37" s="39"/>
      <c r="B37" s="15"/>
      <c r="C37" s="19"/>
      <c r="D37" s="52"/>
      <c r="E37" s="15"/>
      <c r="F37" s="23"/>
      <c r="G37" s="14"/>
      <c r="H37" s="20"/>
      <c r="I37" s="49"/>
      <c r="J37" s="21"/>
      <c r="L37" s="55" t="s">
        <v>116</v>
      </c>
      <c r="M37" s="15" t="s">
        <v>117</v>
      </c>
      <c r="N37" s="22"/>
      <c r="O37" s="56" t="s">
        <v>118</v>
      </c>
      <c r="P37" s="22" t="s">
        <v>119</v>
      </c>
    </row>
    <row r="38" customFormat="false" ht="15" hidden="false" customHeight="false" outlineLevel="0" collapsed="false">
      <c r="A38" s="39"/>
      <c r="B38" s="15"/>
      <c r="C38" s="19"/>
      <c r="D38" s="52"/>
      <c r="E38" s="15"/>
      <c r="F38" s="23"/>
      <c r="G38" s="14"/>
      <c r="H38" s="20"/>
      <c r="I38" s="49"/>
      <c r="J38" s="21"/>
      <c r="L38" s="55" t="s">
        <v>120</v>
      </c>
      <c r="M38" s="15" t="s">
        <v>121</v>
      </c>
      <c r="N38" s="22"/>
      <c r="O38" s="56" t="s">
        <v>122</v>
      </c>
      <c r="P38" s="22" t="s">
        <v>123</v>
      </c>
    </row>
    <row r="39" customFormat="false" ht="15" hidden="false" customHeight="false" outlineLevel="0" collapsed="false">
      <c r="A39" s="39"/>
      <c r="B39" s="15"/>
      <c r="C39" s="19"/>
      <c r="D39" s="52"/>
      <c r="E39" s="15"/>
      <c r="F39" s="23"/>
      <c r="G39" s="14"/>
      <c r="H39" s="20"/>
      <c r="I39" s="49"/>
      <c r="J39" s="21"/>
      <c r="L39" s="55" t="s">
        <v>124</v>
      </c>
      <c r="M39" s="15" t="s">
        <v>125</v>
      </c>
      <c r="N39" s="22"/>
      <c r="O39" s="56" t="s">
        <v>126</v>
      </c>
      <c r="P39" s="22" t="s">
        <v>127</v>
      </c>
    </row>
    <row r="40" customFormat="false" ht="15" hidden="false" customHeight="false" outlineLevel="0" collapsed="false">
      <c r="A40" s="39"/>
      <c r="B40" s="15"/>
      <c r="C40" s="19"/>
      <c r="D40" s="52"/>
      <c r="E40" s="15"/>
      <c r="F40" s="23"/>
      <c r="G40" s="14"/>
      <c r="H40" s="20"/>
      <c r="I40" s="49"/>
      <c r="J40" s="21"/>
      <c r="L40" s="55" t="s">
        <v>128</v>
      </c>
      <c r="M40" s="15" t="s">
        <v>129</v>
      </c>
      <c r="N40" s="22"/>
      <c r="O40" s="56" t="s">
        <v>130</v>
      </c>
      <c r="P40" s="22" t="s">
        <v>131</v>
      </c>
    </row>
    <row r="41" customFormat="false" ht="15" hidden="false" customHeight="false" outlineLevel="0" collapsed="false">
      <c r="A41" s="39"/>
      <c r="B41" s="15"/>
      <c r="C41" s="19"/>
      <c r="D41" s="52"/>
      <c r="E41" s="15"/>
      <c r="F41" s="23"/>
      <c r="G41" s="14"/>
      <c r="H41" s="20"/>
      <c r="I41" s="49"/>
      <c r="J41" s="21"/>
      <c r="L41" s="55" t="s">
        <v>132</v>
      </c>
      <c r="M41" s="15" t="s">
        <v>133</v>
      </c>
      <c r="N41" s="22"/>
      <c r="O41" s="56" t="s">
        <v>134</v>
      </c>
      <c r="P41" s="16" t="s">
        <v>135</v>
      </c>
    </row>
    <row r="42" customFormat="false" ht="15" hidden="false" customHeight="false" outlineLevel="0" collapsed="false">
      <c r="A42" s="39"/>
      <c r="B42" s="15"/>
      <c r="C42" s="19"/>
      <c r="D42" s="52"/>
      <c r="E42" s="15"/>
      <c r="F42" s="23"/>
      <c r="G42" s="14"/>
      <c r="H42" s="20"/>
      <c r="I42" s="49"/>
      <c r="J42" s="21"/>
      <c r="L42" s="55" t="s">
        <v>136</v>
      </c>
      <c r="M42" s="15" t="s">
        <v>137</v>
      </c>
      <c r="N42" s="22"/>
      <c r="O42" s="56" t="s">
        <v>138</v>
      </c>
      <c r="P42" s="22" t="s">
        <v>139</v>
      </c>
    </row>
    <row r="43" customFormat="false" ht="15" hidden="false" customHeight="false" outlineLevel="0" collapsed="false">
      <c r="A43" s="39"/>
      <c r="B43" s="15"/>
      <c r="C43" s="19"/>
      <c r="D43" s="52"/>
      <c r="E43" s="15"/>
      <c r="F43" s="23"/>
      <c r="G43" s="14"/>
      <c r="H43" s="20"/>
      <c r="I43" s="49"/>
      <c r="J43" s="21"/>
      <c r="L43" s="55" t="s">
        <v>140</v>
      </c>
      <c r="M43" s="15" t="s">
        <v>141</v>
      </c>
      <c r="N43" s="22"/>
      <c r="O43" s="56" t="s">
        <v>142</v>
      </c>
      <c r="P43" s="22" t="s">
        <v>143</v>
      </c>
    </row>
    <row r="44" customFormat="false" ht="15" hidden="false" customHeight="false" outlineLevel="0" collapsed="false">
      <c r="A44" s="39"/>
      <c r="B44" s="15"/>
      <c r="C44" s="19"/>
      <c r="D44" s="52"/>
      <c r="E44" s="15"/>
      <c r="F44" s="23"/>
      <c r="G44" s="14"/>
      <c r="H44" s="20"/>
      <c r="I44" s="49"/>
      <c r="J44" s="21"/>
      <c r="L44" s="55" t="s">
        <v>144</v>
      </c>
      <c r="M44" s="15" t="s">
        <v>145</v>
      </c>
      <c r="N44" s="22"/>
      <c r="O44" s="56" t="s">
        <v>146</v>
      </c>
      <c r="P44" s="22" t="s">
        <v>147</v>
      </c>
    </row>
    <row r="45" customFormat="false" ht="15" hidden="false" customHeight="false" outlineLevel="0" collapsed="false">
      <c r="A45" s="39"/>
      <c r="B45" s="15"/>
      <c r="C45" s="19"/>
      <c r="D45" s="52"/>
      <c r="E45" s="15"/>
      <c r="F45" s="23"/>
      <c r="G45" s="14"/>
      <c r="H45" s="20"/>
      <c r="I45" s="49"/>
      <c r="J45" s="21"/>
      <c r="L45" s="55" t="s">
        <v>148</v>
      </c>
      <c r="M45" s="15" t="s">
        <v>149</v>
      </c>
      <c r="N45" s="22"/>
      <c r="O45" s="56" t="s">
        <v>150</v>
      </c>
      <c r="P45" s="22" t="s">
        <v>151</v>
      </c>
    </row>
    <row r="46" customFormat="false" ht="15" hidden="false" customHeight="false" outlineLevel="0" collapsed="false">
      <c r="A46" s="39"/>
      <c r="B46" s="15"/>
      <c r="C46" s="19"/>
      <c r="D46" s="52"/>
      <c r="E46" s="15"/>
      <c r="F46" s="23"/>
      <c r="G46" s="14"/>
      <c r="H46" s="20"/>
      <c r="I46" s="49"/>
      <c r="J46" s="54"/>
      <c r="L46" s="55" t="s">
        <v>152</v>
      </c>
      <c r="M46" s="64" t="s">
        <v>153</v>
      </c>
      <c r="N46" s="22"/>
      <c r="O46" s="56" t="s">
        <v>154</v>
      </c>
      <c r="P46" s="22"/>
    </row>
    <row r="47" customFormat="false" ht="15" hidden="false" customHeight="false" outlineLevel="0" collapsed="false">
      <c r="A47" s="39"/>
      <c r="B47" s="15"/>
      <c r="C47" s="19"/>
      <c r="D47" s="52"/>
      <c r="E47" s="15"/>
      <c r="F47" s="23"/>
      <c r="G47" s="14"/>
      <c r="H47" s="20"/>
      <c r="I47" s="49"/>
      <c r="J47" s="36"/>
      <c r="L47" s="55" t="s">
        <v>155</v>
      </c>
      <c r="M47" s="64" t="s">
        <v>156</v>
      </c>
      <c r="N47" s="22"/>
      <c r="O47" s="56" t="s">
        <v>157</v>
      </c>
      <c r="P47" s="22"/>
    </row>
    <row r="48" customFormat="false" ht="15" hidden="false" customHeight="false" outlineLevel="0" collapsed="false">
      <c r="A48" s="39"/>
      <c r="B48" s="57"/>
      <c r="C48" s="51"/>
      <c r="D48" s="58"/>
      <c r="E48" s="57"/>
      <c r="F48" s="59"/>
      <c r="G48" s="60"/>
      <c r="H48" s="61"/>
      <c r="I48" s="49"/>
      <c r="J48" s="21"/>
      <c r="L48" s="55" t="s">
        <v>158</v>
      </c>
      <c r="M48" s="64" t="s">
        <v>159</v>
      </c>
      <c r="N48" s="22"/>
      <c r="O48" s="56" t="s">
        <v>160</v>
      </c>
      <c r="P48" s="22"/>
    </row>
    <row r="49" customFormat="false" ht="15" hidden="false" customHeight="false" outlineLevel="0" collapsed="false">
      <c r="A49" s="39"/>
      <c r="B49" s="62" t="s">
        <v>99</v>
      </c>
      <c r="C49" s="62"/>
      <c r="D49" s="62"/>
      <c r="E49" s="62"/>
      <c r="F49" s="62"/>
      <c r="G49" s="62"/>
      <c r="H49" s="62"/>
      <c r="I49" s="63" t="n">
        <f aca="false">SUM(I35:I48)</f>
        <v>0</v>
      </c>
      <c r="J49" s="21"/>
      <c r="L49" s="55" t="s">
        <v>161</v>
      </c>
      <c r="M49" s="64" t="s">
        <v>162</v>
      </c>
      <c r="N49" s="22"/>
      <c r="O49" s="56" t="s">
        <v>163</v>
      </c>
      <c r="P49" s="22"/>
    </row>
    <row r="50" customFormat="false" ht="15" hidden="false" customHeight="false" outlineLevel="0" collapsed="false">
      <c r="A50" s="39"/>
      <c r="B50" s="40" t="s">
        <v>164</v>
      </c>
      <c r="C50" s="41" t="str">
        <f aca="false">IFERROR(VLOOKUP(B50,$L$63:$M$72,2)," ")</f>
        <v>Pengembangan PTK</v>
      </c>
      <c r="D50" s="42"/>
      <c r="E50" s="42"/>
      <c r="F50" s="42"/>
      <c r="G50" s="42"/>
      <c r="H50" s="42"/>
      <c r="I50" s="43"/>
      <c r="J50" s="21"/>
      <c r="L50" s="55" t="s">
        <v>165</v>
      </c>
      <c r="M50" s="64" t="s">
        <v>166</v>
      </c>
      <c r="N50" s="22"/>
      <c r="O50" s="56" t="s">
        <v>167</v>
      </c>
      <c r="P50" s="22"/>
    </row>
    <row r="51" customFormat="false" ht="15" hidden="false" customHeight="false" outlineLevel="0" collapsed="false">
      <c r="A51" s="39"/>
      <c r="B51" s="44"/>
      <c r="C51" s="45"/>
      <c r="D51" s="46"/>
      <c r="E51" s="44"/>
      <c r="F51" s="47"/>
      <c r="G51" s="48"/>
      <c r="H51" s="49"/>
      <c r="I51" s="49"/>
      <c r="J51" s="21"/>
      <c r="L51" s="55" t="s">
        <v>168</v>
      </c>
      <c r="M51" s="64" t="s">
        <v>169</v>
      </c>
      <c r="N51" s="22"/>
      <c r="O51" s="56" t="s">
        <v>170</v>
      </c>
      <c r="P51" s="22"/>
    </row>
    <row r="52" customFormat="false" ht="15" hidden="false" customHeight="false" outlineLevel="0" collapsed="false">
      <c r="A52" s="39"/>
      <c r="B52" s="15"/>
      <c r="C52" s="19"/>
      <c r="D52" s="46"/>
      <c r="E52" s="44"/>
      <c r="F52" s="47"/>
      <c r="G52" s="48"/>
      <c r="H52" s="20"/>
      <c r="I52" s="49"/>
      <c r="J52" s="21"/>
      <c r="L52" s="55" t="s">
        <v>171</v>
      </c>
      <c r="M52" s="64" t="s">
        <v>172</v>
      </c>
      <c r="N52" s="22"/>
      <c r="O52" s="56" t="s">
        <v>173</v>
      </c>
      <c r="P52" s="22"/>
    </row>
    <row r="53" customFormat="false" ht="15" hidden="false" customHeight="false" outlineLevel="0" collapsed="false">
      <c r="A53" s="39"/>
      <c r="B53" s="15"/>
      <c r="C53" s="19"/>
      <c r="D53" s="46"/>
      <c r="E53" s="44"/>
      <c r="F53" s="47"/>
      <c r="G53" s="48"/>
      <c r="H53" s="20"/>
      <c r="I53" s="49"/>
      <c r="J53" s="21"/>
      <c r="L53" s="55" t="s">
        <v>174</v>
      </c>
      <c r="M53" s="64" t="s">
        <v>175</v>
      </c>
      <c r="N53" s="22"/>
      <c r="O53" s="56" t="s">
        <v>176</v>
      </c>
      <c r="P53" s="22"/>
    </row>
    <row r="54" customFormat="false" ht="15" hidden="false" customHeight="false" outlineLevel="0" collapsed="false">
      <c r="A54" s="39"/>
      <c r="B54" s="15"/>
      <c r="C54" s="19"/>
      <c r="D54" s="46"/>
      <c r="E54" s="44"/>
      <c r="F54" s="47"/>
      <c r="G54" s="48"/>
      <c r="H54" s="20"/>
      <c r="I54" s="49"/>
      <c r="J54" s="21"/>
      <c r="L54" s="55" t="s">
        <v>177</v>
      </c>
      <c r="M54" s="64" t="s">
        <v>178</v>
      </c>
      <c r="N54" s="22"/>
      <c r="O54" s="56" t="s">
        <v>179</v>
      </c>
      <c r="P54" s="22"/>
    </row>
    <row r="55" customFormat="false" ht="15" hidden="false" customHeight="false" outlineLevel="0" collapsed="false">
      <c r="A55" s="39"/>
      <c r="B55" s="15"/>
      <c r="C55" s="19"/>
      <c r="D55" s="46"/>
      <c r="E55" s="44"/>
      <c r="F55" s="47"/>
      <c r="G55" s="48"/>
      <c r="H55" s="20"/>
      <c r="I55" s="49"/>
      <c r="J55" s="21"/>
      <c r="L55" s="55" t="s">
        <v>180</v>
      </c>
      <c r="M55" s="64" t="s">
        <v>181</v>
      </c>
      <c r="N55" s="22"/>
      <c r="O55" s="56" t="s">
        <v>182</v>
      </c>
      <c r="P55" s="22"/>
    </row>
    <row r="56" customFormat="false" ht="15" hidden="false" customHeight="true" outlineLevel="0" collapsed="false">
      <c r="A56" s="39"/>
      <c r="B56" s="15"/>
      <c r="C56" s="19"/>
      <c r="D56" s="46"/>
      <c r="E56" s="44"/>
      <c r="F56" s="47"/>
      <c r="G56" s="48"/>
      <c r="H56" s="20"/>
      <c r="I56" s="49"/>
      <c r="J56" s="54"/>
      <c r="L56" s="55" t="s">
        <v>183</v>
      </c>
      <c r="M56" s="64" t="s">
        <v>184</v>
      </c>
      <c r="N56" s="22"/>
      <c r="O56" s="56"/>
      <c r="P56" s="22"/>
    </row>
    <row r="57" customFormat="false" ht="15" hidden="false" customHeight="false" outlineLevel="0" collapsed="false">
      <c r="A57" s="39"/>
      <c r="B57" s="15"/>
      <c r="C57" s="19"/>
      <c r="D57" s="46"/>
      <c r="E57" s="44"/>
      <c r="F57" s="47"/>
      <c r="G57" s="48"/>
      <c r="H57" s="20"/>
      <c r="I57" s="49"/>
      <c r="J57" s="36"/>
      <c r="L57" s="55" t="s">
        <v>185</v>
      </c>
      <c r="M57" s="64" t="s">
        <v>186</v>
      </c>
      <c r="N57" s="22"/>
      <c r="O57" s="56"/>
      <c r="P57" s="22"/>
    </row>
    <row r="58" customFormat="false" ht="15" hidden="false" customHeight="false" outlineLevel="0" collapsed="false">
      <c r="A58" s="39"/>
      <c r="B58" s="15"/>
      <c r="C58" s="30"/>
      <c r="D58" s="46"/>
      <c r="E58" s="44"/>
      <c r="F58" s="47"/>
      <c r="G58" s="48"/>
      <c r="H58" s="20"/>
      <c r="I58" s="49"/>
      <c r="J58" s="21"/>
      <c r="L58" s="55" t="s">
        <v>187</v>
      </c>
      <c r="M58" s="64" t="s">
        <v>188</v>
      </c>
      <c r="N58" s="22"/>
      <c r="O58" s="56"/>
      <c r="P58" s="22"/>
    </row>
    <row r="59" customFormat="false" ht="15" hidden="false" customHeight="false" outlineLevel="0" collapsed="false">
      <c r="A59" s="39"/>
      <c r="B59" s="65" t="s">
        <v>99</v>
      </c>
      <c r="C59" s="65"/>
      <c r="D59" s="65"/>
      <c r="E59" s="65"/>
      <c r="F59" s="65"/>
      <c r="G59" s="65"/>
      <c r="H59" s="65"/>
      <c r="I59" s="63" t="n">
        <f aca="false">SUM(I51:I58)</f>
        <v>0</v>
      </c>
      <c r="J59" s="21"/>
      <c r="L59" s="55" t="s">
        <v>189</v>
      </c>
      <c r="M59" s="64" t="s">
        <v>190</v>
      </c>
      <c r="N59" s="22"/>
      <c r="O59" s="56"/>
      <c r="P59" s="22"/>
    </row>
    <row r="60" customFormat="false" ht="15" hidden="false" customHeight="false" outlineLevel="0" collapsed="false">
      <c r="A60" s="39"/>
      <c r="B60" s="40" t="s">
        <v>191</v>
      </c>
      <c r="C60" s="41" t="str">
        <f aca="false">IFERROR(VLOOKUP(B60,$L$73:$M$78,2)," ")</f>
        <v>Bisyaroh PTK</v>
      </c>
      <c r="D60" s="42"/>
      <c r="E60" s="42"/>
      <c r="F60" s="42"/>
      <c r="G60" s="42"/>
      <c r="H60" s="42"/>
      <c r="I60" s="43"/>
      <c r="J60" s="21"/>
      <c r="L60" s="55" t="s">
        <v>192</v>
      </c>
      <c r="M60" s="64" t="s">
        <v>193</v>
      </c>
      <c r="N60" s="22"/>
      <c r="O60" s="56"/>
      <c r="P60" s="22"/>
    </row>
    <row r="61" customFormat="false" ht="15" hidden="false" customHeight="false" outlineLevel="0" collapsed="false">
      <c r="A61" s="39"/>
      <c r="B61" s="44"/>
      <c r="C61" s="66"/>
      <c r="D61" s="46"/>
      <c r="E61" s="44"/>
      <c r="F61" s="47"/>
      <c r="G61" s="48"/>
      <c r="H61" s="49"/>
      <c r="I61" s="49"/>
      <c r="J61" s="21"/>
      <c r="L61" s="55" t="s">
        <v>194</v>
      </c>
      <c r="M61" s="64" t="s">
        <v>195</v>
      </c>
      <c r="N61" s="22"/>
      <c r="O61" s="56"/>
      <c r="P61" s="22"/>
    </row>
    <row r="62" customFormat="false" ht="15" hidden="false" customHeight="false" outlineLevel="0" collapsed="false">
      <c r="A62" s="39"/>
      <c r="B62" s="15"/>
      <c r="C62" s="19"/>
      <c r="D62" s="46"/>
      <c r="E62" s="44"/>
      <c r="F62" s="47"/>
      <c r="G62" s="48"/>
      <c r="H62" s="20"/>
      <c r="I62" s="49"/>
      <c r="J62" s="21"/>
      <c r="L62" s="55" t="s">
        <v>196</v>
      </c>
      <c r="M62" s="15" t="s">
        <v>197</v>
      </c>
      <c r="N62" s="22"/>
      <c r="O62" s="56"/>
      <c r="P62" s="22"/>
    </row>
    <row r="63" customFormat="false" ht="15.75" hidden="false" customHeight="true" outlineLevel="0" collapsed="false">
      <c r="A63" s="39"/>
      <c r="B63" s="15"/>
      <c r="C63" s="19"/>
      <c r="D63" s="46"/>
      <c r="E63" s="44"/>
      <c r="F63" s="47"/>
      <c r="G63" s="48"/>
      <c r="H63" s="20"/>
      <c r="I63" s="49"/>
      <c r="J63" s="54"/>
      <c r="L63" s="37" t="s">
        <v>164</v>
      </c>
      <c r="M63" s="37" t="s">
        <v>198</v>
      </c>
      <c r="N63" s="67"/>
      <c r="O63" s="56"/>
      <c r="P63" s="22"/>
    </row>
    <row r="64" customFormat="false" ht="15" hidden="false" customHeight="false" outlineLevel="0" collapsed="false">
      <c r="A64" s="39"/>
      <c r="B64" s="15"/>
      <c r="C64" s="19"/>
      <c r="D64" s="46"/>
      <c r="E64" s="44"/>
      <c r="F64" s="47"/>
      <c r="G64" s="48"/>
      <c r="H64" s="20"/>
      <c r="I64" s="49"/>
      <c r="J64" s="36"/>
      <c r="L64" s="55" t="s">
        <v>199</v>
      </c>
      <c r="M64" s="64" t="s">
        <v>200</v>
      </c>
      <c r="N64" s="22"/>
      <c r="O64" s="56"/>
      <c r="P64" s="22"/>
    </row>
    <row r="65" customFormat="false" ht="15" hidden="false" customHeight="false" outlineLevel="0" collapsed="false">
      <c r="A65" s="39"/>
      <c r="B65" s="15"/>
      <c r="C65" s="30"/>
      <c r="D65" s="46"/>
      <c r="E65" s="44"/>
      <c r="F65" s="47"/>
      <c r="G65" s="48"/>
      <c r="H65" s="20"/>
      <c r="I65" s="68"/>
      <c r="J65" s="21"/>
      <c r="L65" s="55" t="s">
        <v>201</v>
      </c>
      <c r="M65" s="64" t="s">
        <v>202</v>
      </c>
      <c r="N65" s="22"/>
      <c r="O65" s="56"/>
      <c r="P65" s="22"/>
    </row>
    <row r="66" customFormat="false" ht="15" hidden="false" customHeight="false" outlineLevel="0" collapsed="false">
      <c r="A66" s="39"/>
      <c r="B66" s="62" t="s">
        <v>99</v>
      </c>
      <c r="C66" s="62"/>
      <c r="D66" s="62"/>
      <c r="E66" s="62"/>
      <c r="F66" s="62"/>
      <c r="G66" s="62"/>
      <c r="H66" s="62"/>
      <c r="I66" s="63" t="n">
        <f aca="false">SUM(I61:I65)</f>
        <v>0</v>
      </c>
      <c r="J66" s="21"/>
      <c r="L66" s="55" t="s">
        <v>203</v>
      </c>
      <c r="M66" s="64" t="s">
        <v>204</v>
      </c>
      <c r="N66" s="22"/>
      <c r="O66" s="56"/>
      <c r="P66" s="22"/>
    </row>
    <row r="67" customFormat="false" ht="15" hidden="false" customHeight="false" outlineLevel="0" collapsed="false">
      <c r="A67" s="39"/>
      <c r="B67" s="40" t="s">
        <v>205</v>
      </c>
      <c r="C67" s="69" t="str">
        <f aca="false">IFERROR(VLOOKUP(B67,$L$79:$M$84,2)," ")</f>
        <v>ATK dan Bahan Habis Pakai</v>
      </c>
      <c r="D67" s="42"/>
      <c r="E67" s="42"/>
      <c r="F67" s="42"/>
      <c r="G67" s="42"/>
      <c r="H67" s="42"/>
      <c r="I67" s="43"/>
      <c r="J67" s="21"/>
      <c r="L67" s="55" t="s">
        <v>206</v>
      </c>
      <c r="M67" s="64" t="s">
        <v>207</v>
      </c>
      <c r="N67" s="22"/>
      <c r="O67" s="56"/>
      <c r="P67" s="22"/>
    </row>
    <row r="68" customFormat="false" ht="15" hidden="false" customHeight="false" outlineLevel="0" collapsed="false">
      <c r="A68" s="39"/>
      <c r="B68" s="44"/>
      <c r="C68" s="70"/>
      <c r="D68" s="46"/>
      <c r="E68" s="44"/>
      <c r="F68" s="47"/>
      <c r="G68" s="48"/>
      <c r="H68" s="49"/>
      <c r="I68" s="49"/>
      <c r="J68" s="21"/>
      <c r="L68" s="55" t="s">
        <v>208</v>
      </c>
      <c r="M68" s="64" t="s">
        <v>209</v>
      </c>
      <c r="N68" s="22"/>
      <c r="O68" s="56"/>
      <c r="P68" s="22"/>
    </row>
    <row r="69" customFormat="false" ht="15" hidden="false" customHeight="false" outlineLevel="0" collapsed="false">
      <c r="A69" s="39"/>
      <c r="B69" s="15"/>
      <c r="C69" s="19"/>
      <c r="D69" s="46"/>
      <c r="E69" s="44"/>
      <c r="F69" s="47"/>
      <c r="G69" s="48"/>
      <c r="H69" s="20"/>
      <c r="I69" s="49"/>
      <c r="J69" s="21"/>
      <c r="L69" s="55" t="s">
        <v>210</v>
      </c>
      <c r="M69" s="64" t="s">
        <v>211</v>
      </c>
      <c r="N69" s="22"/>
      <c r="O69" s="56"/>
      <c r="P69" s="22"/>
    </row>
    <row r="70" customFormat="false" ht="15" hidden="false" customHeight="false" outlineLevel="0" collapsed="false">
      <c r="A70" s="39"/>
      <c r="B70" s="15"/>
      <c r="C70" s="19"/>
      <c r="D70" s="46"/>
      <c r="E70" s="44"/>
      <c r="F70" s="47"/>
      <c r="G70" s="48"/>
      <c r="H70" s="20"/>
      <c r="I70" s="49"/>
      <c r="J70" s="54"/>
      <c r="L70" s="55" t="s">
        <v>212</v>
      </c>
      <c r="M70" s="64" t="s">
        <v>213</v>
      </c>
      <c r="N70" s="22"/>
      <c r="O70" s="56"/>
      <c r="P70" s="22"/>
    </row>
    <row r="71" customFormat="false" ht="15" hidden="false" customHeight="false" outlineLevel="0" collapsed="false">
      <c r="A71" s="39"/>
      <c r="B71" s="15"/>
      <c r="C71" s="19"/>
      <c r="D71" s="46"/>
      <c r="E71" s="44"/>
      <c r="F71" s="47"/>
      <c r="G71" s="48"/>
      <c r="H71" s="20"/>
      <c r="I71" s="49"/>
      <c r="J71" s="36"/>
      <c r="L71" s="55" t="s">
        <v>214</v>
      </c>
      <c r="M71" s="64" t="s">
        <v>215</v>
      </c>
      <c r="N71" s="22"/>
      <c r="O71" s="56"/>
      <c r="P71" s="22"/>
    </row>
    <row r="72" customFormat="false" ht="15" hidden="false" customHeight="false" outlineLevel="0" collapsed="false">
      <c r="A72" s="39"/>
      <c r="B72" s="57"/>
      <c r="C72" s="51"/>
      <c r="D72" s="71"/>
      <c r="E72" s="72"/>
      <c r="F72" s="73"/>
      <c r="G72" s="74"/>
      <c r="H72" s="61"/>
      <c r="I72" s="49"/>
      <c r="J72" s="21"/>
      <c r="L72" s="55" t="s">
        <v>216</v>
      </c>
      <c r="M72" s="22" t="s">
        <v>197</v>
      </c>
      <c r="N72" s="22"/>
      <c r="O72" s="56"/>
      <c r="P72" s="22"/>
    </row>
    <row r="73" customFormat="false" ht="12.65" hidden="false" customHeight="false" outlineLevel="0" collapsed="false">
      <c r="A73" s="39"/>
      <c r="B73" s="62" t="s">
        <v>99</v>
      </c>
      <c r="C73" s="62"/>
      <c r="D73" s="62"/>
      <c r="E73" s="62"/>
      <c r="F73" s="62"/>
      <c r="G73" s="62"/>
      <c r="H73" s="62"/>
      <c r="I73" s="63" t="n">
        <f aca="false">SUM(I68:I72)</f>
        <v>0</v>
      </c>
      <c r="J73" s="21"/>
      <c r="L73" s="37" t="s">
        <v>191</v>
      </c>
      <c r="M73" s="75" t="s">
        <v>217</v>
      </c>
      <c r="N73" s="22"/>
      <c r="O73" s="56"/>
      <c r="P73" s="22"/>
    </row>
    <row r="74" customFormat="false" ht="12.65" hidden="false" customHeight="false" outlineLevel="0" collapsed="false">
      <c r="A74" s="39"/>
      <c r="B74" s="40" t="s">
        <v>218</v>
      </c>
      <c r="C74" s="69" t="str">
        <f aca="false">IFERROR(VLOOKUP(B74,$L$85:$M$94,2)," ")</f>
        <v>Kegiatan Kemuridan</v>
      </c>
      <c r="D74" s="42"/>
      <c r="E74" s="42"/>
      <c r="F74" s="42"/>
      <c r="G74" s="42"/>
      <c r="H74" s="42"/>
      <c r="I74" s="43"/>
      <c r="J74" s="21"/>
      <c r="L74" s="15" t="s">
        <v>219</v>
      </c>
      <c r="M74" s="15" t="s">
        <v>68</v>
      </c>
      <c r="N74" s="22"/>
      <c r="O74" s="56"/>
      <c r="P74" s="22"/>
    </row>
    <row r="75" customFormat="false" ht="12.65" hidden="false" customHeight="false" outlineLevel="0" collapsed="false">
      <c r="A75" s="39"/>
      <c r="B75" s="44"/>
      <c r="C75" s="70"/>
      <c r="D75" s="46"/>
      <c r="E75" s="44"/>
      <c r="F75" s="47"/>
      <c r="G75" s="48"/>
      <c r="H75" s="49"/>
      <c r="I75" s="49"/>
      <c r="J75" s="21"/>
      <c r="L75" s="15" t="s">
        <v>220</v>
      </c>
      <c r="M75" s="15" t="s">
        <v>221</v>
      </c>
      <c r="N75" s="22"/>
      <c r="O75" s="56"/>
      <c r="P75" s="22"/>
    </row>
    <row r="76" customFormat="false" ht="12.65" hidden="false" customHeight="false" outlineLevel="0" collapsed="false">
      <c r="A76" s="39"/>
      <c r="B76" s="15"/>
      <c r="C76" s="19"/>
      <c r="D76" s="46"/>
      <c r="E76" s="44"/>
      <c r="F76" s="47"/>
      <c r="G76" s="48"/>
      <c r="H76" s="20"/>
      <c r="I76" s="49"/>
      <c r="J76" s="21"/>
      <c r="L76" s="15" t="s">
        <v>222</v>
      </c>
      <c r="M76" s="15" t="s">
        <v>223</v>
      </c>
      <c r="N76" s="22"/>
      <c r="O76" s="56"/>
      <c r="P76" s="22"/>
    </row>
    <row r="77" customFormat="false" ht="12.65" hidden="false" customHeight="false" outlineLevel="0" collapsed="false">
      <c r="A77" s="39"/>
      <c r="B77" s="15"/>
      <c r="C77" s="19"/>
      <c r="D77" s="46"/>
      <c r="E77" s="44"/>
      <c r="F77" s="47"/>
      <c r="G77" s="48"/>
      <c r="H77" s="20"/>
      <c r="I77" s="49"/>
      <c r="J77" s="21"/>
      <c r="L77" s="15" t="s">
        <v>224</v>
      </c>
      <c r="M77" s="15" t="s">
        <v>225</v>
      </c>
      <c r="N77" s="22"/>
      <c r="O77" s="56"/>
      <c r="P77" s="22"/>
    </row>
    <row r="78" customFormat="false" ht="15" hidden="false" customHeight="true" outlineLevel="0" collapsed="false">
      <c r="A78" s="39"/>
      <c r="B78" s="15"/>
      <c r="C78" s="19"/>
      <c r="D78" s="46"/>
      <c r="E78" s="44"/>
      <c r="F78" s="47"/>
      <c r="G78" s="48"/>
      <c r="H78" s="20"/>
      <c r="I78" s="49"/>
      <c r="J78" s="21"/>
      <c r="L78" s="15" t="s">
        <v>226</v>
      </c>
      <c r="M78" s="15" t="s">
        <v>123</v>
      </c>
      <c r="N78" s="22"/>
      <c r="O78" s="56"/>
      <c r="P78" s="22"/>
    </row>
    <row r="79" customFormat="false" ht="12" hidden="false" customHeight="false" outlineLevel="0" collapsed="false">
      <c r="A79" s="39"/>
      <c r="B79" s="15"/>
      <c r="C79" s="19"/>
      <c r="D79" s="46"/>
      <c r="E79" s="44"/>
      <c r="F79" s="47"/>
      <c r="G79" s="48"/>
      <c r="H79" s="20"/>
      <c r="I79" s="49"/>
      <c r="J79" s="21"/>
      <c r="L79" s="37" t="s">
        <v>205</v>
      </c>
      <c r="M79" s="37" t="s">
        <v>227</v>
      </c>
      <c r="N79" s="22"/>
      <c r="O79" s="56"/>
      <c r="P79" s="22"/>
    </row>
    <row r="80" customFormat="false" ht="12" hidden="false" customHeight="false" outlineLevel="0" collapsed="false">
      <c r="A80" s="39"/>
      <c r="B80" s="15"/>
      <c r="C80" s="19"/>
      <c r="D80" s="46"/>
      <c r="E80" s="44"/>
      <c r="F80" s="47"/>
      <c r="G80" s="48"/>
      <c r="H80" s="20"/>
      <c r="I80" s="49"/>
      <c r="J80" s="21"/>
      <c r="L80" s="25" t="s">
        <v>228</v>
      </c>
      <c r="M80" s="15" t="s">
        <v>229</v>
      </c>
      <c r="N80" s="22"/>
      <c r="O80" s="56"/>
      <c r="P80" s="22"/>
    </row>
    <row r="81" customFormat="false" ht="15" hidden="false" customHeight="true" outlineLevel="0" collapsed="false">
      <c r="A81" s="39"/>
      <c r="B81" s="15"/>
      <c r="C81" s="19"/>
      <c r="D81" s="46"/>
      <c r="E81" s="44"/>
      <c r="F81" s="47"/>
      <c r="G81" s="48"/>
      <c r="H81" s="20"/>
      <c r="I81" s="49"/>
      <c r="J81" s="54"/>
      <c r="L81" s="25" t="s">
        <v>230</v>
      </c>
      <c r="M81" s="15" t="s">
        <v>231</v>
      </c>
      <c r="N81" s="22"/>
      <c r="O81" s="56"/>
      <c r="P81" s="22"/>
    </row>
    <row r="82" customFormat="false" ht="14.25" hidden="false" customHeight="true" outlineLevel="0" collapsed="false">
      <c r="A82" s="39"/>
      <c r="B82" s="15"/>
      <c r="C82" s="19"/>
      <c r="D82" s="46"/>
      <c r="E82" s="44"/>
      <c r="F82" s="47"/>
      <c r="G82" s="48"/>
      <c r="H82" s="20"/>
      <c r="I82" s="49"/>
      <c r="J82" s="36"/>
      <c r="L82" s="25" t="s">
        <v>232</v>
      </c>
      <c r="M82" s="15" t="s">
        <v>233</v>
      </c>
      <c r="N82" s="22"/>
      <c r="O82" s="56"/>
      <c r="P82" s="22"/>
    </row>
    <row r="83" customFormat="false" ht="12.65" hidden="false" customHeight="false" outlineLevel="0" collapsed="false">
      <c r="A83" s="39"/>
      <c r="B83" s="57"/>
      <c r="C83" s="51"/>
      <c r="D83" s="71"/>
      <c r="E83" s="72"/>
      <c r="F83" s="73"/>
      <c r="G83" s="74"/>
      <c r="H83" s="61"/>
      <c r="I83" s="49"/>
      <c r="J83" s="21"/>
      <c r="L83" s="25" t="s">
        <v>234</v>
      </c>
      <c r="M83" s="15" t="s">
        <v>235</v>
      </c>
      <c r="N83" s="22"/>
      <c r="O83" s="56"/>
      <c r="P83" s="22"/>
    </row>
    <row r="84" customFormat="false" ht="12.65" hidden="false" customHeight="false" outlineLevel="0" collapsed="false">
      <c r="A84" s="39"/>
      <c r="B84" s="62" t="s">
        <v>99</v>
      </c>
      <c r="C84" s="62"/>
      <c r="D84" s="62"/>
      <c r="E84" s="62"/>
      <c r="F84" s="62"/>
      <c r="G84" s="62"/>
      <c r="H84" s="62"/>
      <c r="I84" s="63" t="n">
        <f aca="false">SUM(I75:I83)</f>
        <v>0</v>
      </c>
      <c r="J84" s="21"/>
      <c r="L84" s="25" t="s">
        <v>236</v>
      </c>
      <c r="M84" s="15" t="s">
        <v>197</v>
      </c>
      <c r="N84" s="22"/>
      <c r="O84" s="56"/>
      <c r="P84" s="22"/>
    </row>
    <row r="85" customFormat="false" ht="12.65" hidden="false" customHeight="false" outlineLevel="0" collapsed="false">
      <c r="A85" s="39"/>
      <c r="B85" s="40" t="s">
        <v>237</v>
      </c>
      <c r="C85" s="41" t="str">
        <f aca="false">IFERROR(VLOOKUP(B85,$L$95:$M$100,2)," ")</f>
        <v>Alat Penunjang KBM</v>
      </c>
      <c r="D85" s="42"/>
      <c r="E85" s="42"/>
      <c r="F85" s="42"/>
      <c r="G85" s="42"/>
      <c r="H85" s="42"/>
      <c r="I85" s="43"/>
      <c r="J85" s="21"/>
      <c r="L85" s="37" t="s">
        <v>218</v>
      </c>
      <c r="M85" s="75" t="s">
        <v>238</v>
      </c>
      <c r="N85" s="22"/>
      <c r="O85" s="56"/>
      <c r="P85" s="22"/>
    </row>
    <row r="86" customFormat="false" ht="12.65" hidden="false" customHeight="false" outlineLevel="0" collapsed="false">
      <c r="A86" s="39"/>
      <c r="B86" s="44"/>
      <c r="C86" s="45"/>
      <c r="D86" s="46"/>
      <c r="E86" s="44"/>
      <c r="F86" s="47"/>
      <c r="G86" s="48"/>
      <c r="H86" s="49"/>
      <c r="I86" s="49"/>
      <c r="J86" s="21"/>
      <c r="L86" s="15" t="s">
        <v>239</v>
      </c>
      <c r="M86" s="15" t="s">
        <v>240</v>
      </c>
      <c r="N86" s="22"/>
      <c r="O86" s="56"/>
      <c r="P86" s="22"/>
    </row>
    <row r="87" customFormat="false" ht="12.65" hidden="false" customHeight="false" outlineLevel="0" collapsed="false">
      <c r="A87" s="39"/>
      <c r="B87" s="15"/>
      <c r="C87" s="19"/>
      <c r="D87" s="46"/>
      <c r="E87" s="44"/>
      <c r="F87" s="47"/>
      <c r="G87" s="48"/>
      <c r="H87" s="20"/>
      <c r="I87" s="49"/>
      <c r="J87" s="21"/>
      <c r="L87" s="15" t="s">
        <v>241</v>
      </c>
      <c r="M87" s="15" t="s">
        <v>242</v>
      </c>
      <c r="N87" s="22"/>
      <c r="O87" s="56"/>
      <c r="P87" s="22"/>
    </row>
    <row r="88" customFormat="false" ht="15.75" hidden="false" customHeight="true" outlineLevel="0" collapsed="false">
      <c r="A88" s="39"/>
      <c r="B88" s="15"/>
      <c r="C88" s="19"/>
      <c r="D88" s="46"/>
      <c r="E88" s="44"/>
      <c r="F88" s="47"/>
      <c r="G88" s="48"/>
      <c r="H88" s="20"/>
      <c r="I88" s="49"/>
      <c r="J88" s="54"/>
      <c r="L88" s="15" t="s">
        <v>243</v>
      </c>
      <c r="M88" s="15" t="s">
        <v>244</v>
      </c>
      <c r="N88" s="22"/>
      <c r="O88" s="56"/>
      <c r="P88" s="22"/>
    </row>
    <row r="89" customFormat="false" ht="15" hidden="false" customHeight="true" outlineLevel="0" collapsed="false">
      <c r="A89" s="39"/>
      <c r="B89" s="15"/>
      <c r="C89" s="19"/>
      <c r="D89" s="46"/>
      <c r="E89" s="44"/>
      <c r="F89" s="47"/>
      <c r="G89" s="48"/>
      <c r="H89" s="20"/>
      <c r="I89" s="49"/>
      <c r="J89" s="54"/>
      <c r="L89" s="15" t="s">
        <v>245</v>
      </c>
      <c r="M89" s="15" t="s">
        <v>246</v>
      </c>
      <c r="N89" s="22"/>
      <c r="O89" s="56"/>
      <c r="P89" s="22"/>
    </row>
    <row r="90" customFormat="false" ht="12.65" hidden="false" customHeight="false" outlineLevel="0" collapsed="false">
      <c r="A90" s="39"/>
      <c r="B90" s="57"/>
      <c r="C90" s="76"/>
      <c r="D90" s="71"/>
      <c r="E90" s="72"/>
      <c r="F90" s="73"/>
      <c r="G90" s="74"/>
      <c r="H90" s="61"/>
      <c r="I90" s="49"/>
      <c r="J90" s="21"/>
      <c r="L90" s="15" t="s">
        <v>247</v>
      </c>
      <c r="M90" s="15" t="s">
        <v>248</v>
      </c>
      <c r="N90" s="22"/>
      <c r="O90" s="56"/>
      <c r="P90" s="22"/>
    </row>
    <row r="91" customFormat="false" ht="12.65" hidden="false" customHeight="false" outlineLevel="0" collapsed="false">
      <c r="A91" s="39"/>
      <c r="B91" s="62" t="s">
        <v>99</v>
      </c>
      <c r="C91" s="62"/>
      <c r="D91" s="62"/>
      <c r="E91" s="62"/>
      <c r="F91" s="62"/>
      <c r="G91" s="62"/>
      <c r="H91" s="62"/>
      <c r="I91" s="63" t="n">
        <f aca="false">SUM(I86:I90)</f>
        <v>0</v>
      </c>
      <c r="J91" s="21"/>
      <c r="L91" s="15" t="s">
        <v>249</v>
      </c>
      <c r="M91" s="15" t="s">
        <v>250</v>
      </c>
      <c r="N91" s="22"/>
      <c r="O91" s="56"/>
      <c r="P91" s="22"/>
    </row>
    <row r="92" customFormat="false" ht="12.65" hidden="false" customHeight="false" outlineLevel="0" collapsed="false">
      <c r="A92" s="39"/>
      <c r="B92" s="40" t="s">
        <v>251</v>
      </c>
      <c r="C92" s="69" t="str">
        <f aca="false">IFERROR(VLOOKUP(B92,$L$101:$M$107,2)," ")</f>
        <v>Transportasi dan Perjalanan Dinas</v>
      </c>
      <c r="D92" s="77"/>
      <c r="E92" s="77"/>
      <c r="F92" s="77"/>
      <c r="G92" s="77"/>
      <c r="H92" s="78"/>
      <c r="I92" s="79"/>
      <c r="J92" s="21"/>
      <c r="L92" s="15" t="s">
        <v>252</v>
      </c>
      <c r="M92" s="15" t="s">
        <v>253</v>
      </c>
      <c r="N92" s="22"/>
      <c r="O92" s="56"/>
      <c r="P92" s="22"/>
    </row>
    <row r="93" customFormat="false" ht="12.65" hidden="false" customHeight="false" outlineLevel="0" collapsed="false">
      <c r="A93" s="39"/>
      <c r="B93" s="44"/>
      <c r="C93" s="70"/>
      <c r="D93" s="46"/>
      <c r="E93" s="44"/>
      <c r="F93" s="47"/>
      <c r="G93" s="48"/>
      <c r="H93" s="49"/>
      <c r="I93" s="49"/>
      <c r="J93" s="21"/>
      <c r="L93" s="15" t="s">
        <v>254</v>
      </c>
      <c r="M93" s="15" t="s">
        <v>255</v>
      </c>
      <c r="N93" s="22"/>
      <c r="O93" s="56"/>
      <c r="P93" s="22"/>
    </row>
    <row r="94" customFormat="false" ht="12.65" hidden="false" customHeight="false" outlineLevel="0" collapsed="false">
      <c r="A94" s="39"/>
      <c r="B94" s="15"/>
      <c r="C94" s="19"/>
      <c r="D94" s="46"/>
      <c r="E94" s="44"/>
      <c r="F94" s="47"/>
      <c r="G94" s="48"/>
      <c r="H94" s="20"/>
      <c r="I94" s="49"/>
      <c r="J94" s="21"/>
      <c r="L94" s="15" t="s">
        <v>256</v>
      </c>
      <c r="M94" s="15" t="s">
        <v>197</v>
      </c>
      <c r="N94" s="22"/>
      <c r="O94" s="56"/>
      <c r="P94" s="22"/>
    </row>
    <row r="95" customFormat="false" ht="12.65" hidden="false" customHeight="false" outlineLevel="0" collapsed="false">
      <c r="A95" s="39"/>
      <c r="B95" s="15"/>
      <c r="C95" s="19"/>
      <c r="D95" s="46"/>
      <c r="E95" s="44"/>
      <c r="F95" s="47"/>
      <c r="G95" s="48"/>
      <c r="H95" s="20"/>
      <c r="I95" s="49"/>
      <c r="J95" s="21"/>
      <c r="L95" s="37" t="s">
        <v>237</v>
      </c>
      <c r="M95" s="75" t="s">
        <v>257</v>
      </c>
      <c r="N95" s="22"/>
      <c r="O95" s="56"/>
      <c r="P95" s="22"/>
    </row>
    <row r="96" customFormat="false" ht="15" hidden="false" customHeight="true" outlineLevel="0" collapsed="false">
      <c r="A96" s="39"/>
      <c r="B96" s="15"/>
      <c r="C96" s="19"/>
      <c r="D96" s="46"/>
      <c r="E96" s="44"/>
      <c r="F96" s="47"/>
      <c r="G96" s="48"/>
      <c r="H96" s="20"/>
      <c r="I96" s="49"/>
      <c r="J96" s="54"/>
      <c r="L96" s="15" t="s">
        <v>258</v>
      </c>
      <c r="M96" s="15" t="s">
        <v>259</v>
      </c>
      <c r="N96" s="22"/>
      <c r="O96" s="56"/>
      <c r="P96" s="22"/>
    </row>
    <row r="97" customFormat="false" ht="15" hidden="false" customHeight="true" outlineLevel="0" collapsed="false">
      <c r="A97" s="39"/>
      <c r="B97" s="15"/>
      <c r="C97" s="19"/>
      <c r="D97" s="46"/>
      <c r="E97" s="44"/>
      <c r="F97" s="47"/>
      <c r="G97" s="48"/>
      <c r="H97" s="20"/>
      <c r="I97" s="49"/>
      <c r="J97" s="54"/>
      <c r="L97" s="15" t="s">
        <v>260</v>
      </c>
      <c r="M97" s="15" t="s">
        <v>261</v>
      </c>
      <c r="N97" s="22"/>
      <c r="O97" s="56"/>
      <c r="P97" s="22"/>
    </row>
    <row r="98" customFormat="false" ht="12.65" hidden="false" customHeight="false" outlineLevel="0" collapsed="false">
      <c r="A98" s="39"/>
      <c r="B98" s="15"/>
      <c r="C98" s="30"/>
      <c r="D98" s="46"/>
      <c r="E98" s="44"/>
      <c r="F98" s="47"/>
      <c r="G98" s="48"/>
      <c r="H98" s="20"/>
      <c r="I98" s="49"/>
      <c r="J98" s="21"/>
      <c r="L98" s="15" t="s">
        <v>262</v>
      </c>
      <c r="M98" s="15" t="s">
        <v>263</v>
      </c>
      <c r="N98" s="22"/>
      <c r="O98" s="56"/>
      <c r="P98" s="22"/>
    </row>
    <row r="99" customFormat="false" ht="12.65" hidden="false" customHeight="false" outlineLevel="0" collapsed="false">
      <c r="A99" s="39"/>
      <c r="B99" s="65" t="s">
        <v>99</v>
      </c>
      <c r="C99" s="65"/>
      <c r="D99" s="65"/>
      <c r="E99" s="65"/>
      <c r="F99" s="65"/>
      <c r="G99" s="65"/>
      <c r="H99" s="65"/>
      <c r="I99" s="63" t="n">
        <f aca="false">SUM(I93:I98)</f>
        <v>0</v>
      </c>
      <c r="J99" s="21"/>
      <c r="L99" s="15" t="s">
        <v>264</v>
      </c>
      <c r="M99" s="15" t="s">
        <v>265</v>
      </c>
      <c r="N99" s="22"/>
      <c r="O99" s="56"/>
      <c r="P99" s="22"/>
    </row>
    <row r="100" customFormat="false" ht="12.65" hidden="false" customHeight="false" outlineLevel="0" collapsed="false">
      <c r="A100" s="39"/>
      <c r="B100" s="40" t="s">
        <v>266</v>
      </c>
      <c r="C100" s="41" t="str">
        <f aca="false">IFERROR(VLOOKUP(B100,$L$108:$M$120,2)," ")</f>
        <v>Pengadaan Soal-soal ujian</v>
      </c>
      <c r="D100" s="77"/>
      <c r="E100" s="77"/>
      <c r="F100" s="77"/>
      <c r="G100" s="77"/>
      <c r="H100" s="78"/>
      <c r="I100" s="79"/>
      <c r="J100" s="21"/>
      <c r="L100" s="15" t="s">
        <v>267</v>
      </c>
      <c r="M100" s="15" t="s">
        <v>197</v>
      </c>
      <c r="N100" s="22"/>
      <c r="O100" s="56"/>
      <c r="P100" s="22"/>
    </row>
    <row r="101" customFormat="false" ht="12.65" hidden="false" customHeight="false" outlineLevel="0" collapsed="false">
      <c r="A101" s="39"/>
      <c r="B101" s="44"/>
      <c r="C101" s="80"/>
      <c r="D101" s="46"/>
      <c r="E101" s="44"/>
      <c r="F101" s="47"/>
      <c r="G101" s="48"/>
      <c r="H101" s="49"/>
      <c r="I101" s="49"/>
      <c r="J101" s="21"/>
      <c r="L101" s="37" t="s">
        <v>251</v>
      </c>
      <c r="M101" s="81" t="s">
        <v>268</v>
      </c>
      <c r="N101" s="22"/>
      <c r="O101" s="56"/>
      <c r="P101" s="22"/>
    </row>
    <row r="102" customFormat="false" ht="12.65" hidden="false" customHeight="false" outlineLevel="0" collapsed="false">
      <c r="A102" s="39"/>
      <c r="B102" s="15"/>
      <c r="C102" s="19"/>
      <c r="D102" s="46"/>
      <c r="E102" s="44"/>
      <c r="F102" s="47"/>
      <c r="G102" s="48"/>
      <c r="H102" s="20"/>
      <c r="I102" s="49"/>
      <c r="J102" s="21"/>
      <c r="L102" s="15" t="s">
        <v>269</v>
      </c>
      <c r="M102" s="15" t="s">
        <v>80</v>
      </c>
      <c r="N102" s="22"/>
      <c r="O102" s="56"/>
      <c r="P102" s="22"/>
    </row>
    <row r="103" customFormat="false" ht="12.65" hidden="false" customHeight="false" outlineLevel="0" collapsed="false">
      <c r="A103" s="39"/>
      <c r="B103" s="15"/>
      <c r="C103" s="19"/>
      <c r="D103" s="46"/>
      <c r="E103" s="44"/>
      <c r="F103" s="47"/>
      <c r="G103" s="48"/>
      <c r="H103" s="20"/>
      <c r="I103" s="49"/>
      <c r="J103" s="21"/>
      <c r="L103" s="15" t="s">
        <v>270</v>
      </c>
      <c r="M103" s="15" t="s">
        <v>271</v>
      </c>
      <c r="N103" s="22"/>
      <c r="O103" s="56"/>
      <c r="P103" s="22"/>
    </row>
    <row r="104" customFormat="false" ht="12.65" hidden="false" customHeight="false" outlineLevel="0" collapsed="false">
      <c r="A104" s="39"/>
      <c r="B104" s="15"/>
      <c r="C104" s="19"/>
      <c r="D104" s="46"/>
      <c r="E104" s="44"/>
      <c r="F104" s="47"/>
      <c r="G104" s="48"/>
      <c r="H104" s="20"/>
      <c r="I104" s="49"/>
      <c r="J104" s="21"/>
      <c r="L104" s="15" t="s">
        <v>272</v>
      </c>
      <c r="M104" s="15" t="s">
        <v>273</v>
      </c>
      <c r="N104" s="22"/>
      <c r="O104" s="56"/>
      <c r="P104" s="22"/>
    </row>
    <row r="105" customFormat="false" ht="12.65" hidden="false" customHeight="false" outlineLevel="0" collapsed="false">
      <c r="A105" s="39"/>
      <c r="B105" s="15"/>
      <c r="C105" s="19"/>
      <c r="D105" s="46"/>
      <c r="E105" s="44"/>
      <c r="F105" s="47"/>
      <c r="G105" s="48"/>
      <c r="H105" s="20"/>
      <c r="I105" s="49"/>
      <c r="J105" s="21"/>
      <c r="L105" s="15" t="s">
        <v>274</v>
      </c>
      <c r="M105" s="15" t="s">
        <v>275</v>
      </c>
      <c r="N105" s="22"/>
      <c r="O105" s="56"/>
      <c r="P105" s="22"/>
    </row>
    <row r="106" customFormat="false" ht="12.65" hidden="false" customHeight="false" outlineLevel="0" collapsed="false">
      <c r="A106" s="39"/>
      <c r="B106" s="15"/>
      <c r="C106" s="19"/>
      <c r="D106" s="46"/>
      <c r="E106" s="44"/>
      <c r="F106" s="47"/>
      <c r="G106" s="48"/>
      <c r="H106" s="20"/>
      <c r="I106" s="49"/>
      <c r="J106" s="21"/>
      <c r="L106" s="15" t="s">
        <v>276</v>
      </c>
      <c r="M106" s="15" t="s">
        <v>277</v>
      </c>
      <c r="N106" s="22"/>
      <c r="O106" s="56"/>
      <c r="P106" s="22"/>
    </row>
    <row r="107" customFormat="false" ht="12.65" hidden="false" customHeight="false" outlineLevel="0" collapsed="false">
      <c r="A107" s="39"/>
      <c r="B107" s="15"/>
      <c r="C107" s="19"/>
      <c r="D107" s="46"/>
      <c r="E107" s="44"/>
      <c r="F107" s="47"/>
      <c r="G107" s="48"/>
      <c r="H107" s="20"/>
      <c r="I107" s="49"/>
      <c r="J107" s="21"/>
      <c r="L107" s="15" t="s">
        <v>278</v>
      </c>
      <c r="M107" s="15" t="s">
        <v>197</v>
      </c>
      <c r="N107" s="22"/>
      <c r="O107" s="56"/>
      <c r="P107" s="22"/>
    </row>
    <row r="108" customFormat="false" ht="12.65" hidden="false" customHeight="false" outlineLevel="0" collapsed="false">
      <c r="A108" s="39"/>
      <c r="B108" s="15"/>
      <c r="C108" s="19"/>
      <c r="D108" s="46"/>
      <c r="E108" s="44"/>
      <c r="F108" s="47"/>
      <c r="G108" s="48"/>
      <c r="H108" s="20"/>
      <c r="I108" s="49"/>
      <c r="J108" s="21"/>
      <c r="L108" s="37" t="s">
        <v>266</v>
      </c>
      <c r="M108" s="81" t="s">
        <v>279</v>
      </c>
      <c r="N108" s="22"/>
      <c r="O108" s="56"/>
      <c r="P108" s="22"/>
    </row>
    <row r="109" customFormat="false" ht="12.65" hidden="false" customHeight="false" outlineLevel="0" collapsed="false">
      <c r="A109" s="39"/>
      <c r="B109" s="15"/>
      <c r="C109" s="19"/>
      <c r="D109" s="46"/>
      <c r="E109" s="44"/>
      <c r="F109" s="47"/>
      <c r="G109" s="48"/>
      <c r="H109" s="20"/>
      <c r="I109" s="49"/>
      <c r="J109" s="21"/>
      <c r="L109" s="15" t="s">
        <v>280</v>
      </c>
      <c r="M109" s="15" t="s">
        <v>281</v>
      </c>
      <c r="N109" s="22"/>
      <c r="O109" s="56"/>
      <c r="P109" s="22"/>
    </row>
    <row r="110" customFormat="false" ht="15.75" hidden="false" customHeight="true" outlineLevel="0" collapsed="false">
      <c r="A110" s="39"/>
      <c r="B110" s="15"/>
      <c r="C110" s="19"/>
      <c r="D110" s="46"/>
      <c r="E110" s="44"/>
      <c r="F110" s="47"/>
      <c r="G110" s="48"/>
      <c r="H110" s="20"/>
      <c r="I110" s="49"/>
      <c r="J110" s="54"/>
      <c r="L110" s="15" t="s">
        <v>282</v>
      </c>
      <c r="M110" s="15" t="s">
        <v>283</v>
      </c>
      <c r="N110" s="22"/>
      <c r="O110" s="56"/>
      <c r="P110" s="22"/>
    </row>
    <row r="111" customFormat="false" ht="15" hidden="false" customHeight="true" outlineLevel="0" collapsed="false">
      <c r="A111" s="39"/>
      <c r="B111" s="15"/>
      <c r="C111" s="19"/>
      <c r="D111" s="46"/>
      <c r="E111" s="44"/>
      <c r="F111" s="47"/>
      <c r="G111" s="48"/>
      <c r="H111" s="20"/>
      <c r="I111" s="49"/>
      <c r="J111" s="54"/>
      <c r="L111" s="15" t="s">
        <v>284</v>
      </c>
      <c r="M111" s="15" t="s">
        <v>285</v>
      </c>
      <c r="N111" s="22"/>
      <c r="O111" s="56"/>
      <c r="P111" s="22"/>
    </row>
    <row r="112" customFormat="false" ht="15" hidden="false" customHeight="true" outlineLevel="0" collapsed="false">
      <c r="A112" s="39"/>
      <c r="B112" s="57"/>
      <c r="C112" s="51"/>
      <c r="D112" s="71"/>
      <c r="E112" s="72"/>
      <c r="F112" s="73"/>
      <c r="G112" s="74"/>
      <c r="H112" s="61"/>
      <c r="I112" s="49"/>
      <c r="J112" s="21"/>
      <c r="L112" s="15" t="s">
        <v>286</v>
      </c>
      <c r="M112" s="15" t="s">
        <v>287</v>
      </c>
      <c r="N112" s="22"/>
      <c r="O112" s="56"/>
      <c r="P112" s="22"/>
    </row>
    <row r="113" customFormat="false" ht="15" hidden="false" customHeight="true" outlineLevel="0" collapsed="false">
      <c r="A113" s="39"/>
      <c r="B113" s="62" t="s">
        <v>99</v>
      </c>
      <c r="C113" s="62"/>
      <c r="D113" s="62"/>
      <c r="E113" s="62"/>
      <c r="F113" s="62"/>
      <c r="G113" s="62"/>
      <c r="H113" s="62"/>
      <c r="I113" s="63" t="n">
        <f aca="false">SUM(I101:I112)</f>
        <v>0</v>
      </c>
      <c r="J113" s="21"/>
      <c r="L113" s="15" t="s">
        <v>288</v>
      </c>
      <c r="M113" s="15" t="s">
        <v>289</v>
      </c>
      <c r="N113" s="22"/>
      <c r="O113" s="56"/>
      <c r="P113" s="22"/>
    </row>
    <row r="114" customFormat="false" ht="15" hidden="false" customHeight="true" outlineLevel="0" collapsed="false">
      <c r="A114" s="39"/>
      <c r="B114" s="40" t="s">
        <v>290</v>
      </c>
      <c r="C114" s="41" t="str">
        <f aca="false">IFERROR(VLOOKUP(B114,$L$121:$M$125,2)," ")</f>
        <v>Biaya Daya dan Jasa</v>
      </c>
      <c r="D114" s="77"/>
      <c r="E114" s="77"/>
      <c r="F114" s="77"/>
      <c r="G114" s="77"/>
      <c r="H114" s="78"/>
      <c r="I114" s="79"/>
      <c r="J114" s="21"/>
      <c r="L114" s="15" t="s">
        <v>291</v>
      </c>
      <c r="M114" s="15" t="s">
        <v>292</v>
      </c>
      <c r="N114" s="22"/>
      <c r="O114" s="56"/>
      <c r="P114" s="22"/>
    </row>
    <row r="115" customFormat="false" ht="15" hidden="false" customHeight="true" outlineLevel="0" collapsed="false">
      <c r="A115" s="39"/>
      <c r="B115" s="44"/>
      <c r="C115" s="45"/>
      <c r="D115" s="46"/>
      <c r="E115" s="44"/>
      <c r="F115" s="47"/>
      <c r="G115" s="48"/>
      <c r="H115" s="49"/>
      <c r="I115" s="49"/>
      <c r="J115" s="21"/>
      <c r="L115" s="15" t="s">
        <v>293</v>
      </c>
      <c r="M115" s="15" t="s">
        <v>294</v>
      </c>
      <c r="N115" s="22"/>
      <c r="O115" s="56"/>
      <c r="P115" s="22"/>
    </row>
    <row r="116" customFormat="false" ht="15" hidden="false" customHeight="true" outlineLevel="0" collapsed="false">
      <c r="A116" s="39"/>
      <c r="B116" s="15"/>
      <c r="C116" s="19"/>
      <c r="D116" s="46"/>
      <c r="E116" s="44"/>
      <c r="F116" s="47"/>
      <c r="G116" s="48"/>
      <c r="H116" s="20"/>
      <c r="I116" s="49"/>
      <c r="J116" s="54"/>
      <c r="L116" s="15" t="s">
        <v>295</v>
      </c>
      <c r="M116" s="15" t="s">
        <v>296</v>
      </c>
      <c r="N116" s="22"/>
      <c r="O116" s="56"/>
      <c r="P116" s="22"/>
    </row>
    <row r="117" customFormat="false" ht="15" hidden="false" customHeight="true" outlineLevel="0" collapsed="false">
      <c r="A117" s="39"/>
      <c r="B117" s="15"/>
      <c r="C117" s="19"/>
      <c r="D117" s="46"/>
      <c r="E117" s="44"/>
      <c r="F117" s="47"/>
      <c r="G117" s="48"/>
      <c r="H117" s="20"/>
      <c r="I117" s="49"/>
      <c r="J117" s="54"/>
      <c r="L117" s="15" t="s">
        <v>297</v>
      </c>
      <c r="M117" s="15" t="s">
        <v>298</v>
      </c>
      <c r="N117" s="22"/>
      <c r="O117" s="56"/>
      <c r="P117" s="22"/>
    </row>
    <row r="118" customFormat="false" ht="15" hidden="false" customHeight="true" outlineLevel="0" collapsed="false">
      <c r="A118" s="39"/>
      <c r="B118" s="57"/>
      <c r="C118" s="51"/>
      <c r="D118" s="71"/>
      <c r="E118" s="72"/>
      <c r="F118" s="73"/>
      <c r="G118" s="74"/>
      <c r="H118" s="61"/>
      <c r="I118" s="49"/>
      <c r="J118" s="21"/>
      <c r="L118" s="15" t="s">
        <v>299</v>
      </c>
      <c r="M118" s="15" t="s">
        <v>300</v>
      </c>
      <c r="N118" s="22"/>
      <c r="O118" s="56"/>
      <c r="P118" s="22"/>
    </row>
    <row r="119" customFormat="false" ht="15" hidden="false" customHeight="true" outlineLevel="0" collapsed="false">
      <c r="A119" s="39"/>
      <c r="B119" s="62" t="s">
        <v>99</v>
      </c>
      <c r="C119" s="62"/>
      <c r="D119" s="62"/>
      <c r="E119" s="62"/>
      <c r="F119" s="62"/>
      <c r="G119" s="62"/>
      <c r="H119" s="62"/>
      <c r="I119" s="63" t="n">
        <f aca="false">SUM(I115:I118)</f>
        <v>0</v>
      </c>
      <c r="J119" s="21"/>
      <c r="L119" s="15" t="s">
        <v>301</v>
      </c>
      <c r="M119" s="15" t="s">
        <v>302</v>
      </c>
      <c r="N119" s="22"/>
      <c r="O119" s="56"/>
      <c r="P119" s="22"/>
    </row>
    <row r="120" customFormat="false" ht="15" hidden="false" customHeight="true" outlineLevel="0" collapsed="false">
      <c r="A120" s="39"/>
      <c r="B120" s="40" t="s">
        <v>303</v>
      </c>
      <c r="C120" s="69" t="str">
        <f aca="false">IFERROR(VLOOKUP(B120,$L$126:$M$129,2)," ")</f>
        <v>Kegiatan Ekstrakurikuler</v>
      </c>
      <c r="D120" s="77"/>
      <c r="E120" s="77"/>
      <c r="F120" s="77"/>
      <c r="G120" s="77"/>
      <c r="H120" s="78"/>
      <c r="I120" s="79"/>
      <c r="J120" s="21"/>
      <c r="L120" s="15" t="s">
        <v>304</v>
      </c>
      <c r="M120" s="15" t="s">
        <v>197</v>
      </c>
      <c r="N120" s="22"/>
      <c r="O120" s="56"/>
      <c r="P120" s="22"/>
    </row>
    <row r="121" customFormat="false" ht="15" hidden="false" customHeight="true" outlineLevel="0" collapsed="false">
      <c r="A121" s="39"/>
      <c r="B121" s="44" t="s">
        <v>305</v>
      </c>
      <c r="C121" s="70" t="str">
        <f aca="false">IFERROR(VLOOKUP(B121,$L$126:$M$129,2)," ")</f>
        <v>Al-banjari</v>
      </c>
      <c r="D121" s="46"/>
      <c r="E121" s="44"/>
      <c r="F121" s="47"/>
      <c r="G121" s="48"/>
      <c r="H121" s="49"/>
      <c r="I121" s="49" t="n">
        <f aca="false">H121*F121</f>
        <v>0</v>
      </c>
      <c r="J121" s="54"/>
      <c r="L121" s="37" t="s">
        <v>290</v>
      </c>
      <c r="M121" s="81" t="s">
        <v>306</v>
      </c>
      <c r="N121" s="22"/>
      <c r="O121" s="56"/>
      <c r="P121" s="22"/>
    </row>
    <row r="122" customFormat="false" ht="15" hidden="false" customHeight="true" outlineLevel="0" collapsed="false">
      <c r="A122" s="39"/>
      <c r="B122" s="15" t="s">
        <v>307</v>
      </c>
      <c r="C122" s="19" t="str">
        <f aca="false">IFERROR(VLOOKUP(B122,$L$126:$M$129,2)," ")</f>
        <v>Lainnya</v>
      </c>
      <c r="D122" s="46"/>
      <c r="E122" s="44"/>
      <c r="F122" s="47"/>
      <c r="G122" s="48"/>
      <c r="H122" s="20"/>
      <c r="I122" s="49" t="n">
        <f aca="false">H122*F122</f>
        <v>0</v>
      </c>
      <c r="J122" s="54"/>
      <c r="L122" s="15" t="s">
        <v>308</v>
      </c>
      <c r="M122" s="15" t="s">
        <v>309</v>
      </c>
      <c r="N122" s="22"/>
      <c r="O122" s="56"/>
      <c r="P122" s="22"/>
    </row>
    <row r="123" customFormat="false" ht="15" hidden="false" customHeight="true" outlineLevel="0" collapsed="false">
      <c r="A123" s="39"/>
      <c r="B123" s="57"/>
      <c r="C123" s="51" t="str">
        <f aca="false">IFERROR(VLOOKUP(B123,$L$126:$M$129,2)," ")</f>
        <v> </v>
      </c>
      <c r="D123" s="71"/>
      <c r="E123" s="72"/>
      <c r="F123" s="73"/>
      <c r="G123" s="74"/>
      <c r="H123" s="61"/>
      <c r="I123" s="49" t="n">
        <f aca="false">H123*F123</f>
        <v>0</v>
      </c>
      <c r="J123" s="54"/>
      <c r="L123" s="15" t="s">
        <v>310</v>
      </c>
      <c r="M123" s="15" t="s">
        <v>311</v>
      </c>
      <c r="N123" s="22"/>
      <c r="O123" s="56"/>
      <c r="P123" s="22"/>
    </row>
    <row r="124" customFormat="false" ht="15" hidden="false" customHeight="true" outlineLevel="0" collapsed="false">
      <c r="A124" s="39"/>
      <c r="B124" s="62" t="s">
        <v>99</v>
      </c>
      <c r="C124" s="62"/>
      <c r="D124" s="62"/>
      <c r="E124" s="62"/>
      <c r="F124" s="62"/>
      <c r="G124" s="62"/>
      <c r="H124" s="62"/>
      <c r="I124" s="63" t="n">
        <f aca="false">SUM(I121:I123)</f>
        <v>0</v>
      </c>
      <c r="J124" s="54"/>
      <c r="L124" s="15" t="s">
        <v>312</v>
      </c>
      <c r="M124" s="15" t="s">
        <v>313</v>
      </c>
      <c r="N124" s="22"/>
      <c r="O124" s="56"/>
      <c r="P124" s="22"/>
    </row>
    <row r="125" customFormat="false" ht="15" hidden="false" customHeight="true" outlineLevel="0" collapsed="false">
      <c r="A125" s="39"/>
      <c r="B125" s="40" t="s">
        <v>314</v>
      </c>
      <c r="C125" s="41" t="str">
        <f aca="false">IFERROR(VLOOKUP(B125,$L$130:$M$133,2)," ")</f>
        <v>Laporan Pertanggung Jawaban</v>
      </c>
      <c r="D125" s="77"/>
      <c r="E125" s="77"/>
      <c r="F125" s="77"/>
      <c r="G125" s="77"/>
      <c r="H125" s="78"/>
      <c r="I125" s="79"/>
      <c r="J125" s="54"/>
      <c r="L125" s="15" t="s">
        <v>315</v>
      </c>
      <c r="M125" s="15" t="s">
        <v>197</v>
      </c>
      <c r="N125" s="22"/>
      <c r="O125" s="56"/>
      <c r="P125" s="22"/>
    </row>
    <row r="126" customFormat="false" ht="15" hidden="false" customHeight="true" outlineLevel="0" collapsed="false">
      <c r="A126" s="39"/>
      <c r="B126" s="44"/>
      <c r="C126" s="45"/>
      <c r="D126" s="46"/>
      <c r="E126" s="44"/>
      <c r="F126" s="47"/>
      <c r="G126" s="48"/>
      <c r="H126" s="82"/>
      <c r="I126" s="49" t="n">
        <f aca="false">H126*F126</f>
        <v>0</v>
      </c>
      <c r="J126" s="54"/>
      <c r="L126" s="37" t="s">
        <v>303</v>
      </c>
      <c r="M126" s="81" t="s">
        <v>316</v>
      </c>
      <c r="N126" s="22"/>
      <c r="O126" s="56"/>
      <c r="P126" s="22"/>
    </row>
    <row r="127" customFormat="false" ht="15" hidden="false" customHeight="true" outlineLevel="0" collapsed="false">
      <c r="A127" s="39"/>
      <c r="B127" s="15"/>
      <c r="C127" s="19"/>
      <c r="D127" s="46"/>
      <c r="E127" s="44"/>
      <c r="F127" s="47"/>
      <c r="G127" s="48"/>
      <c r="H127" s="83"/>
      <c r="I127" s="49" t="n">
        <f aca="false">H127*F127</f>
        <v>0</v>
      </c>
      <c r="J127" s="54"/>
      <c r="L127" s="15" t="s">
        <v>305</v>
      </c>
      <c r="M127" s="64" t="s">
        <v>317</v>
      </c>
      <c r="N127" s="22"/>
      <c r="O127" s="56"/>
      <c r="P127" s="22"/>
    </row>
    <row r="128" customFormat="false" ht="15" hidden="false" customHeight="true" outlineLevel="0" collapsed="false">
      <c r="A128" s="39"/>
      <c r="B128" s="57"/>
      <c r="C128" s="51" t="str">
        <f aca="false">IFERROR(VLOOKUP(B128,$L$130:$M$133,2)," ")</f>
        <v> </v>
      </c>
      <c r="D128" s="71"/>
      <c r="E128" s="72"/>
      <c r="F128" s="73"/>
      <c r="G128" s="74"/>
      <c r="H128" s="84"/>
      <c r="I128" s="49" t="n">
        <f aca="false">H128*F128</f>
        <v>0</v>
      </c>
      <c r="J128" s="21"/>
      <c r="L128" s="15" t="s">
        <v>318</v>
      </c>
      <c r="M128" s="64" t="s">
        <v>319</v>
      </c>
      <c r="N128" s="22"/>
      <c r="O128" s="56"/>
      <c r="P128" s="22"/>
    </row>
    <row r="129" customFormat="false" ht="15" hidden="false" customHeight="true" outlineLevel="0" collapsed="false">
      <c r="A129" s="39"/>
      <c r="B129" s="62" t="s">
        <v>99</v>
      </c>
      <c r="C129" s="62"/>
      <c r="D129" s="62"/>
      <c r="E129" s="62"/>
      <c r="F129" s="62"/>
      <c r="G129" s="62"/>
      <c r="H129" s="62"/>
      <c r="I129" s="63" t="n">
        <f aca="false">SUM(I126:I128)</f>
        <v>0</v>
      </c>
      <c r="J129" s="21"/>
      <c r="L129" s="15" t="s">
        <v>307</v>
      </c>
      <c r="M129" s="64" t="s">
        <v>197</v>
      </c>
      <c r="N129" s="22"/>
      <c r="O129" s="56"/>
      <c r="P129" s="22"/>
    </row>
    <row r="130" customFormat="false" ht="15" hidden="false" customHeight="true" outlineLevel="0" collapsed="false">
      <c r="A130" s="39"/>
      <c r="B130" s="40" t="s">
        <v>320</v>
      </c>
      <c r="C130" s="41" t="str">
        <f aca="false">IFERROR(VLOOKUP(B130,$L$134:$M$137,2)," ")</f>
        <v>Lain-lain</v>
      </c>
      <c r="D130" s="77"/>
      <c r="E130" s="77"/>
      <c r="F130" s="77"/>
      <c r="G130" s="77"/>
      <c r="H130" s="78"/>
      <c r="I130" s="79"/>
      <c r="J130" s="21"/>
      <c r="L130" s="37" t="s">
        <v>314</v>
      </c>
      <c r="M130" s="81" t="s">
        <v>321</v>
      </c>
      <c r="N130" s="22"/>
      <c r="O130" s="56"/>
      <c r="P130" s="22"/>
    </row>
    <row r="131" customFormat="false" ht="15" hidden="false" customHeight="true" outlineLevel="0" collapsed="false">
      <c r="A131" s="39"/>
      <c r="B131" s="44" t="s">
        <v>322</v>
      </c>
      <c r="C131" s="45" t="s">
        <v>323</v>
      </c>
      <c r="D131" s="46" t="s">
        <v>24</v>
      </c>
      <c r="E131" s="44" t="s">
        <v>78</v>
      </c>
      <c r="F131" s="47" t="n">
        <v>2</v>
      </c>
      <c r="G131" s="48" t="s">
        <v>18</v>
      </c>
      <c r="H131" s="49" t="n">
        <v>620000</v>
      </c>
      <c r="I131" s="49" t="n">
        <f aca="false">H131*F131</f>
        <v>1240000</v>
      </c>
      <c r="J131" s="54"/>
      <c r="L131" s="15" t="s">
        <v>324</v>
      </c>
      <c r="M131" s="50" t="s">
        <v>325</v>
      </c>
      <c r="N131" s="22"/>
      <c r="O131" s="56"/>
      <c r="P131" s="22"/>
    </row>
    <row r="132" customFormat="false" ht="16.5" hidden="false" customHeight="true" outlineLevel="0" collapsed="false">
      <c r="A132" s="39"/>
      <c r="B132" s="15" t="s">
        <v>326</v>
      </c>
      <c r="C132" s="19" t="str">
        <f aca="false">IFERROR(VLOOKUP(B132,$L$134:$M$137,2)," ")</f>
        <v>Pemeliharaan Sarana Prasarana</v>
      </c>
      <c r="D132" s="46" t="s">
        <v>19</v>
      </c>
      <c r="E132" s="44" t="s">
        <v>98</v>
      </c>
      <c r="F132" s="47" t="n">
        <v>1</v>
      </c>
      <c r="G132" s="48" t="s">
        <v>18</v>
      </c>
      <c r="H132" s="20" t="n">
        <v>1000000</v>
      </c>
      <c r="I132" s="49" t="n">
        <f aca="false">H132*F132</f>
        <v>1000000</v>
      </c>
      <c r="J132" s="54"/>
      <c r="L132" s="15" t="s">
        <v>327</v>
      </c>
      <c r="M132" s="50" t="s">
        <v>328</v>
      </c>
      <c r="N132" s="22"/>
      <c r="O132" s="56"/>
      <c r="P132" s="22"/>
    </row>
    <row r="133" customFormat="false" ht="15" hidden="false" customHeight="true" outlineLevel="0" collapsed="false">
      <c r="A133" s="39"/>
      <c r="B133" s="15"/>
      <c r="C133" s="30" t="str">
        <f aca="false">IFERROR(VLOOKUP(B133,$L$134:$M$137,2)," ")</f>
        <v> </v>
      </c>
      <c r="D133" s="46"/>
      <c r="E133" s="44"/>
      <c r="F133" s="47"/>
      <c r="G133" s="48"/>
      <c r="H133" s="20"/>
      <c r="I133" s="49"/>
      <c r="L133" s="15" t="s">
        <v>329</v>
      </c>
      <c r="M133" s="50" t="s">
        <v>197</v>
      </c>
      <c r="N133" s="22"/>
      <c r="O133" s="56"/>
      <c r="P133" s="22"/>
    </row>
    <row r="134" customFormat="false" ht="15" hidden="false" customHeight="true" outlineLevel="0" collapsed="false">
      <c r="A134" s="39"/>
      <c r="B134" s="62" t="s">
        <v>99</v>
      </c>
      <c r="C134" s="62"/>
      <c r="D134" s="62"/>
      <c r="E134" s="62"/>
      <c r="F134" s="62"/>
      <c r="G134" s="62"/>
      <c r="H134" s="62"/>
      <c r="I134" s="85" t="n">
        <f aca="false">SUM(I131:I133)</f>
        <v>2240000</v>
      </c>
      <c r="J134" s="3"/>
      <c r="L134" s="37" t="s">
        <v>320</v>
      </c>
      <c r="M134" s="81" t="s">
        <v>330</v>
      </c>
      <c r="N134" s="22"/>
      <c r="O134" s="56"/>
      <c r="P134" s="22"/>
    </row>
    <row r="135" customFormat="false" ht="15" hidden="false" customHeight="true" outlineLevel="0" collapsed="false">
      <c r="A135" s="86" t="s">
        <v>331</v>
      </c>
      <c r="B135" s="86"/>
      <c r="C135" s="86"/>
      <c r="D135" s="86"/>
      <c r="E135" s="86"/>
      <c r="F135" s="86"/>
      <c r="G135" s="86"/>
      <c r="H135" s="86"/>
      <c r="I135" s="87" t="n">
        <f aca="false">SUM(I33,I49,I59,I66,I73,I84,I91,I99,I113,I119,I124,I129,I134)</f>
        <v>2240000</v>
      </c>
      <c r="L135" s="15" t="s">
        <v>326</v>
      </c>
      <c r="M135" s="50" t="s">
        <v>332</v>
      </c>
      <c r="N135" s="22"/>
      <c r="O135" s="56"/>
      <c r="P135" s="22"/>
    </row>
    <row r="136" customFormat="false" ht="15" hidden="false" customHeight="true" outlineLevel="0" collapsed="false">
      <c r="D136" s="88"/>
      <c r="L136" s="15" t="s">
        <v>333</v>
      </c>
      <c r="M136" s="50" t="s">
        <v>334</v>
      </c>
      <c r="N136" s="22"/>
      <c r="O136" s="56"/>
      <c r="P136" s="22"/>
    </row>
    <row r="137" customFormat="false" ht="15" hidden="false" customHeight="true" outlineLevel="0" collapsed="false">
      <c r="A137" s="89" t="s">
        <v>6</v>
      </c>
      <c r="B137" s="89" t="s">
        <v>7</v>
      </c>
      <c r="C137" s="89" t="s">
        <v>8</v>
      </c>
      <c r="D137" s="89"/>
      <c r="E137" s="89" t="s">
        <v>14</v>
      </c>
      <c r="F137" s="3"/>
      <c r="G137" s="3"/>
      <c r="H137" s="3"/>
      <c r="I137" s="3"/>
      <c r="L137" s="15" t="s">
        <v>322</v>
      </c>
      <c r="M137" s="50" t="s">
        <v>335</v>
      </c>
      <c r="N137" s="22"/>
      <c r="O137" s="56"/>
      <c r="P137" s="22"/>
    </row>
    <row r="138" customFormat="false" ht="15" hidden="false" customHeight="true" outlineLevel="0" collapsed="false">
      <c r="A138" s="89" t="n">
        <v>1</v>
      </c>
      <c r="B138" s="90" t="s">
        <v>336</v>
      </c>
      <c r="C138" s="15" t="str">
        <f aca="false">A22</f>
        <v>TOTAL AKHIR RENCANA ANGGARAN PENDAPATAN</v>
      </c>
      <c r="D138" s="15"/>
      <c r="E138" s="20" t="n">
        <f aca="false">I22</f>
        <v>0</v>
      </c>
    </row>
    <row r="139" customFormat="false" ht="15" hidden="false" customHeight="true" outlineLevel="0" collapsed="false">
      <c r="A139" s="89" t="n">
        <v>2</v>
      </c>
      <c r="B139" s="90" t="s">
        <v>337</v>
      </c>
      <c r="C139" s="15" t="str">
        <f aca="false">A135</f>
        <v>TOTAL RENCANA ANGGARAN BELANJA</v>
      </c>
      <c r="D139" s="15"/>
      <c r="E139" s="20" t="n">
        <f aca="false">I135</f>
        <v>2240000</v>
      </c>
    </row>
    <row r="140" customFormat="false" ht="15" hidden="false" customHeight="true" outlineLevel="0" collapsed="false">
      <c r="A140" s="89"/>
      <c r="B140" s="89" t="s">
        <v>338</v>
      </c>
      <c r="C140" s="89"/>
      <c r="D140" s="91" t="str">
        <f aca="false">IF(E140&lt;=0,"MINUS","SURPLUS")</f>
        <v>MINUS</v>
      </c>
      <c r="E140" s="92" t="n">
        <f aca="false">E138-E139</f>
        <v>-2240000</v>
      </c>
    </row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>
      <c r="C144" s="1" t="s">
        <v>339</v>
      </c>
    </row>
    <row r="145" customFormat="false" ht="15" hidden="false" customHeight="true" outlineLevel="0" collapsed="false">
      <c r="C145" s="1" t="s">
        <v>340</v>
      </c>
      <c r="F145" s="93" t="s">
        <v>225</v>
      </c>
      <c r="G145" s="93"/>
      <c r="H145" s="93"/>
      <c r="I145" s="93"/>
    </row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>
      <c r="C149" s="94" t="s">
        <v>341</v>
      </c>
      <c r="D149" s="94"/>
      <c r="E149" s="94"/>
      <c r="F149" s="94" t="s">
        <v>342</v>
      </c>
      <c r="G149" s="94"/>
    </row>
    <row r="150" customFormat="false" ht="15" hidden="false" customHeight="true" outlineLevel="0" collapsed="false">
      <c r="C150" s="94"/>
      <c r="D150" s="94"/>
      <c r="E150" s="94"/>
      <c r="F150" s="94"/>
      <c r="G150" s="94"/>
    </row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</sheetData>
  <mergeCells count="38">
    <mergeCell ref="A1:I1"/>
    <mergeCell ref="A2:I2"/>
    <mergeCell ref="A3:I3"/>
    <mergeCell ref="B5:I5"/>
    <mergeCell ref="L5:P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9:A21"/>
    <mergeCell ref="L21:P22"/>
    <mergeCell ref="A22:H22"/>
    <mergeCell ref="B24:I24"/>
    <mergeCell ref="A27:A134"/>
    <mergeCell ref="B33:H33"/>
    <mergeCell ref="B49:H49"/>
    <mergeCell ref="B59:H59"/>
    <mergeCell ref="B66:H66"/>
    <mergeCell ref="B73:H73"/>
    <mergeCell ref="B84:H84"/>
    <mergeCell ref="B91:H91"/>
    <mergeCell ref="B99:H99"/>
    <mergeCell ref="B113:H113"/>
    <mergeCell ref="B119:H119"/>
    <mergeCell ref="B124:H124"/>
    <mergeCell ref="B129:H129"/>
    <mergeCell ref="B134:H134"/>
    <mergeCell ref="A135:H135"/>
    <mergeCell ref="C137:D137"/>
    <mergeCell ref="C138:D138"/>
    <mergeCell ref="C139:D139"/>
    <mergeCell ref="B140:C140"/>
    <mergeCell ref="F145:I145"/>
  </mergeCells>
  <dataValidations count="21">
    <dataValidation allowBlank="true" errorStyle="stop" operator="between" showDropDown="false" showErrorMessage="true" showInputMessage="true" sqref="B27:B32" type="list">
      <formula1>$L$24:$L$28</formula1>
      <formula2>0</formula2>
    </dataValidation>
    <dataValidation allowBlank="true" errorStyle="stop" operator="between" showDropDown="false" showErrorMessage="true" showInputMessage="true" sqref="B34:B48" type="list">
      <formula1>$L$29:$L$62</formula1>
      <formula2>0</formula2>
    </dataValidation>
    <dataValidation allowBlank="true" errorStyle="stop" operator="between" showDropDown="false" showErrorMessage="true" showInputMessage="true" sqref="B50:B58" type="list">
      <formula1>$L$63:$L$72</formula1>
      <formula2>0</formula2>
    </dataValidation>
    <dataValidation allowBlank="true" errorStyle="stop" operator="between" showDropDown="false" showErrorMessage="true" showInputMessage="true" sqref="B60:B65" type="list">
      <formula1>$L$73:$L$78</formula1>
      <formula2>0</formula2>
    </dataValidation>
    <dataValidation allowBlank="true" errorStyle="stop" operator="between" showDropDown="false" showErrorMessage="true" showInputMessage="true" sqref="B67:B72" type="list">
      <formula1>$L$79:$L$84</formula1>
      <formula2>0</formula2>
    </dataValidation>
    <dataValidation allowBlank="true" errorStyle="stop" operator="between" showDropDown="false" showErrorMessage="true" showInputMessage="true" sqref="B74:B83" type="list">
      <formula1>$L$85:$L$94</formula1>
      <formula2>0</formula2>
    </dataValidation>
    <dataValidation allowBlank="true" errorStyle="stop" operator="between" showDropDown="false" showErrorMessage="true" showInputMessage="true" sqref="B85:B90" type="list">
      <formula1>$L$95:$L$100</formula1>
      <formula2>0</formula2>
    </dataValidation>
    <dataValidation allowBlank="true" errorStyle="stop" operator="between" showDropDown="false" showErrorMessage="true" showInputMessage="true" sqref="B92:B98" type="list">
      <formula1>$L$101:$L$107</formula1>
      <formula2>0</formula2>
    </dataValidation>
    <dataValidation allowBlank="true" errorStyle="stop" operator="between" showDropDown="false" showErrorMessage="true" showInputMessage="true" sqref="B100:B112" type="list">
      <formula1>$L$108:$L$120</formula1>
      <formula2>0</formula2>
    </dataValidation>
    <dataValidation allowBlank="true" errorStyle="stop" operator="between" showDropDown="false" showErrorMessage="true" showInputMessage="true" sqref="B114:B118" type="list">
      <formula1>$L$121:$L$125</formula1>
      <formula2>0</formula2>
    </dataValidation>
    <dataValidation allowBlank="true" errorStyle="stop" operator="between" showDropDown="false" showErrorMessage="true" showInputMessage="true" sqref="B120:B123" type="list">
      <formula1>$L$126:$L$129</formula1>
      <formula2>0</formula2>
    </dataValidation>
    <dataValidation allowBlank="true" errorStyle="stop" operator="between" showDropDown="false" showErrorMessage="true" showInputMessage="true" sqref="B125:B128" type="list">
      <formula1>$L$130:$L$133</formula1>
      <formula2>0</formula2>
    </dataValidation>
    <dataValidation allowBlank="true" errorStyle="stop" operator="between" showDropDown="false" showErrorMessage="true" showInputMessage="true" sqref="B130:B133" type="list">
      <formula1>$L$134:$L$137</formula1>
      <formula2>0</formula2>
    </dataValidation>
    <dataValidation allowBlank="true" errorStyle="stop" operator="between" showDropDown="false" showErrorMessage="true" showInputMessage="true" sqref="D28:D32 D35:D48 D51:D58 D61:D65 D68:D72 D75:D83 D86:D90 D93:D98 D101:D112 D115:D118 D121:D123 D126:D128 D131:D133" type="list">
      <formula1>$N$25:$N$31</formula1>
      <formula2>0</formula2>
    </dataValidation>
    <dataValidation allowBlank="true" errorStyle="stop" operator="between" showDropDown="false" showErrorMessage="true" showInputMessage="true" sqref="E28:E32 E35:E48 E51:E58 E61:E65 E68:E72 E83 E86:E90 E93:E98 E101:E112 E115:E118 E121:E123 E126:E128 E131:E133" type="list">
      <formula1>$P$24:$P$44</formula1>
      <formula2>0</formula2>
    </dataValidation>
    <dataValidation allowBlank="true" errorStyle="stop" operator="between" showDropDown="false" showErrorMessage="true" showInputMessage="true" sqref="G28:G32 G35:G48 G51:G58 G61:G65 G68:G72 G75:G83 G86:G90 G93:G98 G101:G112 G115:G118 G121:G123 G126:G128 G131:G133" type="list">
      <formula1>$O$24:$O$55</formula1>
      <formula2>0</formula2>
    </dataValidation>
    <dataValidation allowBlank="true" errorStyle="stop" operator="between" showDropDown="false" showErrorMessage="true" showInputMessage="true" sqref="E9:E21" type="list">
      <formula1>$N$8:$N$16</formula1>
      <formula2>0</formula2>
    </dataValidation>
    <dataValidation allowBlank="true" errorStyle="stop" operator="between" showDropDown="false" showErrorMessage="true" showInputMessage="true" sqref="D9:D21" type="list">
      <formula1>$P$8:$P$14</formula1>
      <formula2>0</formula2>
    </dataValidation>
    <dataValidation allowBlank="true" errorStyle="stop" operator="between" showDropDown="false" showErrorMessage="true" showInputMessage="true" sqref="B9:B21" type="list">
      <formula1>$L$8:$L$19</formula1>
      <formula2>0</formula2>
    </dataValidation>
    <dataValidation allowBlank="true" errorStyle="stop" operator="between" showDropDown="false" showErrorMessage="true" showInputMessage="true" sqref="G9:G21" type="list">
      <formula1>$O$8:$O$16</formula1>
      <formula2>0</formula2>
    </dataValidation>
    <dataValidation allowBlank="true" errorStyle="stop" operator="between" showDropDown="false" showErrorMessage="true" showInputMessage="true" sqref="E75:E82" type="list">
      <formula1>$P$24:$P$46</formula1>
      <formula2>0</formula2>
    </dataValidation>
  </dataValidations>
  <printOptions headings="false" gridLines="false" gridLinesSet="true" horizontalCentered="false" verticalCentered="false"/>
  <pageMargins left="0.890277777777778" right="0.7" top="0.459722222222222" bottom="0.4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9"/>
  <sheetViews>
    <sheetView showFormulas="false" showGridLines="true" showRowColHeaders="true" showZeros="true" rightToLeft="false" tabSelected="false" showOutlineSymbols="true" defaultGridColor="true" view="normal" topLeftCell="A133" colorId="64" zoomScale="100" zoomScaleNormal="100" zoomScalePageLayoutView="100" workbookViewId="0">
      <selection pane="topLeft" activeCell="F10" activeCellId="0" sqref="F10"/>
    </sheetView>
  </sheetViews>
  <sheetFormatPr defaultColWidth="8.90234375" defaultRowHeight="11.25" customHeight="false" zeroHeight="false" outlineLevelRow="0" outlineLevelCol="0"/>
  <cols>
    <col collapsed="false" customWidth="true" hidden="false" outlineLevel="0" max="1" min="1" style="1" width="4.4"/>
    <col collapsed="false" customWidth="true" hidden="false" outlineLevel="0" max="2" min="2" style="1" width="8.4"/>
    <col collapsed="false" customWidth="true" hidden="false" outlineLevel="0" max="3" min="3" style="1" width="54.1"/>
    <col collapsed="false" customWidth="true" hidden="false" outlineLevel="0" max="4" min="4" style="1" width="15.9"/>
    <col collapsed="false" customWidth="true" hidden="false" outlineLevel="0" max="5" min="5" style="1" width="13.4"/>
    <col collapsed="false" customWidth="true" hidden="false" outlineLevel="0" max="6" min="6" style="1" width="9.1"/>
    <col collapsed="false" customWidth="true" hidden="false" outlineLevel="0" max="7" min="7" style="1" width="9.6"/>
    <col collapsed="false" customWidth="true" hidden="false" outlineLevel="0" max="8" min="8" style="1" width="12.3"/>
    <col collapsed="false" customWidth="true" hidden="false" outlineLevel="0" max="10" min="9" style="1" width="13.9"/>
    <col collapsed="false" customWidth="false" hidden="false" outlineLevel="0" max="11" min="11" style="1" width="8.9"/>
    <col collapsed="false" customWidth="true" hidden="false" outlineLevel="0" max="12" min="12" style="1" width="7.4"/>
    <col collapsed="false" customWidth="true" hidden="false" outlineLevel="0" max="13" min="13" style="1" width="43.3"/>
    <col collapsed="false" customWidth="true" hidden="false" outlineLevel="0" max="14" min="14" style="1" width="18.4"/>
    <col collapsed="false" customWidth="true" hidden="false" outlineLevel="0" max="15" min="15" style="1" width="7.6"/>
    <col collapsed="false" customWidth="true" hidden="false" outlineLevel="0" max="16" min="16" style="1" width="18.3"/>
    <col collapsed="false" customWidth="false" hidden="false" outlineLevel="0" max="16384" min="17" style="1" width="8.9"/>
  </cols>
  <sheetData>
    <row r="1" customFormat="false" ht="15" hidden="false" customHeight="false" outlineLevel="0" collapsed="false">
      <c r="A1" s="2" t="s">
        <v>343</v>
      </c>
      <c r="B1" s="2"/>
      <c r="C1" s="2"/>
      <c r="D1" s="2"/>
      <c r="E1" s="2"/>
      <c r="F1" s="2"/>
      <c r="G1" s="2"/>
      <c r="H1" s="2"/>
      <c r="I1" s="2"/>
      <c r="J1" s="3"/>
    </row>
    <row r="2" customFormat="false" ht="15" hidden="false" customHeight="fals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  <c r="J2" s="3"/>
    </row>
    <row r="3" customFormat="false" ht="15" hidden="false" customHeight="false" outlineLevel="0" collapsed="false">
      <c r="A3" s="2" t="s">
        <v>345</v>
      </c>
      <c r="B3" s="2"/>
      <c r="C3" s="2"/>
      <c r="D3" s="2"/>
      <c r="E3" s="2"/>
      <c r="F3" s="2"/>
      <c r="G3" s="2"/>
      <c r="H3" s="2"/>
      <c r="I3" s="2"/>
      <c r="J3" s="3"/>
    </row>
    <row r="4" customFormat="false" ht="11.2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3" t="s">
        <v>3</v>
      </c>
      <c r="B5" s="5" t="s">
        <v>346</v>
      </c>
      <c r="C5" s="5"/>
      <c r="D5" s="5"/>
      <c r="E5" s="5"/>
      <c r="F5" s="5"/>
      <c r="G5" s="5"/>
      <c r="H5" s="5"/>
      <c r="I5" s="5"/>
      <c r="J5" s="6"/>
      <c r="L5" s="7" t="s">
        <v>5</v>
      </c>
      <c r="M5" s="7"/>
      <c r="N5" s="7"/>
      <c r="O5" s="7"/>
      <c r="P5" s="7"/>
    </row>
    <row r="6" customFormat="false" ht="11.25" hidden="false" customHeight="false" outlineLevel="0" collapsed="false">
      <c r="L6" s="7"/>
      <c r="M6" s="7"/>
      <c r="N6" s="7"/>
      <c r="O6" s="7"/>
      <c r="P6" s="7"/>
    </row>
    <row r="7" customFormat="false" ht="21.75" hidden="false" customHeight="true" outlineLevel="0" collapsed="false">
      <c r="A7" s="8" t="s">
        <v>6</v>
      </c>
      <c r="B7" s="8" t="s">
        <v>7</v>
      </c>
      <c r="C7" s="8" t="s">
        <v>8</v>
      </c>
      <c r="D7" s="9" t="s">
        <v>9</v>
      </c>
      <c r="E7" s="10" t="s">
        <v>10</v>
      </c>
      <c r="F7" s="10" t="s">
        <v>11</v>
      </c>
      <c r="G7" s="10" t="s">
        <v>12</v>
      </c>
      <c r="H7" s="11" t="s">
        <v>13</v>
      </c>
      <c r="I7" s="10" t="s">
        <v>14</v>
      </c>
      <c r="J7" s="12"/>
      <c r="L7" s="7" t="s">
        <v>7</v>
      </c>
      <c r="M7" s="7" t="s">
        <v>8</v>
      </c>
      <c r="N7" s="7" t="s">
        <v>10</v>
      </c>
      <c r="O7" s="7" t="s">
        <v>12</v>
      </c>
      <c r="P7" s="13" t="s">
        <v>9</v>
      </c>
    </row>
    <row r="8" customFormat="false" ht="11.25" hidden="false" customHeight="true" outlineLevel="0" collapsed="false">
      <c r="A8" s="8"/>
      <c r="B8" s="8"/>
      <c r="C8" s="8"/>
      <c r="D8" s="9"/>
      <c r="E8" s="10"/>
      <c r="F8" s="10"/>
      <c r="G8" s="10"/>
      <c r="H8" s="11"/>
      <c r="I8" s="10"/>
      <c r="J8" s="12"/>
      <c r="L8" s="14" t="s">
        <v>15</v>
      </c>
      <c r="M8" s="15" t="s">
        <v>16</v>
      </c>
      <c r="N8" s="16" t="s">
        <v>17</v>
      </c>
      <c r="O8" s="17" t="s">
        <v>18</v>
      </c>
      <c r="P8" s="16" t="s">
        <v>19</v>
      </c>
    </row>
    <row r="9" customFormat="false" ht="12" hidden="false" customHeight="true" outlineLevel="0" collapsed="false">
      <c r="A9" s="18" t="n">
        <v>1</v>
      </c>
      <c r="B9" s="15" t="s">
        <v>15</v>
      </c>
      <c r="C9" s="19" t="str">
        <f aca="false">IFERROR(VLOOKUP(B9,$L$8:$M$19,2)," ")</f>
        <v>Saldo Tahun Lalu</v>
      </c>
      <c r="D9" s="19" t="s">
        <v>19</v>
      </c>
      <c r="E9" s="19"/>
      <c r="F9" s="14"/>
      <c r="G9" s="14"/>
      <c r="H9" s="20"/>
      <c r="I9" s="20" t="n">
        <f aca="false">H9*F9</f>
        <v>0</v>
      </c>
      <c r="J9" s="21"/>
      <c r="L9" s="14" t="s">
        <v>20</v>
      </c>
      <c r="M9" s="15" t="s">
        <v>21</v>
      </c>
      <c r="N9" s="22" t="s">
        <v>22</v>
      </c>
      <c r="O9" s="17" t="s">
        <v>23</v>
      </c>
      <c r="P9" s="16" t="s">
        <v>24</v>
      </c>
    </row>
    <row r="10" customFormat="false" ht="12" hidden="false" customHeight="true" outlineLevel="0" collapsed="false">
      <c r="A10" s="18"/>
      <c r="B10" s="15" t="s">
        <v>20</v>
      </c>
      <c r="C10" s="19" t="str">
        <f aca="false">IFERROR(VLOOKUP(B10,$L$8:$M$19,2)," ")</f>
        <v>SPP Murid Kelas 1-3</v>
      </c>
      <c r="D10" s="14" t="s">
        <v>19</v>
      </c>
      <c r="E10" s="19" t="s">
        <v>53</v>
      </c>
      <c r="F10" s="14" t="n">
        <v>68</v>
      </c>
      <c r="G10" s="14" t="s">
        <v>23</v>
      </c>
      <c r="H10" s="20" t="n">
        <v>200000</v>
      </c>
      <c r="I10" s="20" t="n">
        <f aca="false">H10*F10</f>
        <v>13600000</v>
      </c>
      <c r="J10" s="21"/>
      <c r="L10" s="14" t="s">
        <v>25</v>
      </c>
      <c r="M10" s="15" t="s">
        <v>26</v>
      </c>
      <c r="N10" s="22" t="s">
        <v>27</v>
      </c>
      <c r="O10" s="17" t="s">
        <v>28</v>
      </c>
      <c r="P10" s="16" t="s">
        <v>29</v>
      </c>
    </row>
    <row r="11" customFormat="false" ht="12" hidden="false" customHeight="true" outlineLevel="0" collapsed="false">
      <c r="A11" s="18"/>
      <c r="B11" s="15" t="s">
        <v>25</v>
      </c>
      <c r="C11" s="19" t="str">
        <f aca="false">IFERROR(VLOOKUP(B11,$L$8:$M$19,2)," ")</f>
        <v>SPP Murid Kelas 4-6</v>
      </c>
      <c r="D11" s="14" t="s">
        <v>19</v>
      </c>
      <c r="E11" s="19" t="s">
        <v>53</v>
      </c>
      <c r="F11" s="14" t="n">
        <v>56</v>
      </c>
      <c r="G11" s="14" t="s">
        <v>23</v>
      </c>
      <c r="H11" s="20" t="n">
        <v>250000</v>
      </c>
      <c r="I11" s="20" t="n">
        <f aca="false">H11*F11</f>
        <v>14000000</v>
      </c>
      <c r="J11" s="21"/>
      <c r="L11" s="14" t="s">
        <v>30</v>
      </c>
      <c r="M11" s="15" t="s">
        <v>31</v>
      </c>
      <c r="N11" s="22" t="s">
        <v>32</v>
      </c>
      <c r="O11" s="17" t="s">
        <v>33</v>
      </c>
      <c r="P11" s="16" t="s">
        <v>34</v>
      </c>
    </row>
    <row r="12" customFormat="false" ht="12" hidden="false" customHeight="true" outlineLevel="0" collapsed="false">
      <c r="A12" s="18"/>
      <c r="B12" s="15" t="s">
        <v>48</v>
      </c>
      <c r="C12" s="19" t="str">
        <f aca="false">IFERROR(VLOOKUP(B12,$L$8:$M$19,2)," ")</f>
        <v>Sumbangan Awal Tahun</v>
      </c>
      <c r="D12" s="14" t="s">
        <v>19</v>
      </c>
      <c r="E12" s="19" t="s">
        <v>53</v>
      </c>
      <c r="F12" s="14" t="n">
        <v>124</v>
      </c>
      <c r="G12" s="14" t="s">
        <v>23</v>
      </c>
      <c r="H12" s="20" t="n">
        <v>100000</v>
      </c>
      <c r="I12" s="20" t="n">
        <f aca="false">H12*F12</f>
        <v>12400000</v>
      </c>
      <c r="J12" s="21"/>
      <c r="L12" s="14" t="s">
        <v>35</v>
      </c>
      <c r="M12" s="15" t="s">
        <v>36</v>
      </c>
      <c r="N12" s="22" t="s">
        <v>37</v>
      </c>
      <c r="O12" s="17" t="s">
        <v>38</v>
      </c>
      <c r="P12" s="16" t="s">
        <v>39</v>
      </c>
    </row>
    <row r="13" customFormat="false" ht="12" hidden="false" customHeight="true" outlineLevel="0" collapsed="false">
      <c r="A13" s="18"/>
      <c r="B13" s="15" t="s">
        <v>51</v>
      </c>
      <c r="C13" s="19" t="str">
        <f aca="false">IFERROR(VLOOKUP(B13,$L$8:$M$19,2)," ")</f>
        <v>Sumbangan Akhir Tahun</v>
      </c>
      <c r="D13" s="14" t="s">
        <v>19</v>
      </c>
      <c r="E13" s="19" t="s">
        <v>53</v>
      </c>
      <c r="F13" s="14" t="n">
        <v>124</v>
      </c>
      <c r="G13" s="14" t="s">
        <v>23</v>
      </c>
      <c r="H13" s="20" t="n">
        <v>200000</v>
      </c>
      <c r="I13" s="20" t="n">
        <f aca="false">H13*F13</f>
        <v>24800000</v>
      </c>
      <c r="J13" s="21"/>
      <c r="L13" s="14" t="s">
        <v>40</v>
      </c>
      <c r="M13" s="15" t="s">
        <v>41</v>
      </c>
      <c r="N13" s="22" t="s">
        <v>42</v>
      </c>
      <c r="O13" s="17" t="s">
        <v>43</v>
      </c>
      <c r="P13" s="16" t="s">
        <v>44</v>
      </c>
    </row>
    <row r="14" customFormat="false" ht="12" hidden="false" customHeight="true" outlineLevel="0" collapsed="false">
      <c r="A14" s="18"/>
      <c r="B14" s="15" t="s">
        <v>40</v>
      </c>
      <c r="C14" s="19" t="str">
        <f aca="false">IFERROR(VLOOKUP(B14,$L$8:$M$19,2)," ")</f>
        <v>Yayasan</v>
      </c>
      <c r="D14" s="14" t="s">
        <v>19</v>
      </c>
      <c r="E14" s="19" t="s">
        <v>37</v>
      </c>
      <c r="F14" s="23" t="n">
        <v>3</v>
      </c>
      <c r="G14" s="14" t="s">
        <v>28</v>
      </c>
      <c r="H14" s="20" t="n">
        <v>10000000</v>
      </c>
      <c r="I14" s="20" t="n">
        <f aca="false">H14*F14</f>
        <v>30000000</v>
      </c>
      <c r="J14" s="21"/>
      <c r="L14" s="14" t="s">
        <v>45</v>
      </c>
      <c r="M14" s="15" t="s">
        <v>46</v>
      </c>
      <c r="N14" s="22" t="s">
        <v>27</v>
      </c>
      <c r="O14" s="17"/>
      <c r="P14" s="16" t="s">
        <v>47</v>
      </c>
    </row>
    <row r="15" customFormat="false" ht="12.75" hidden="false" customHeight="true" outlineLevel="0" collapsed="false">
      <c r="A15" s="18"/>
      <c r="B15" s="15" t="s">
        <v>30</v>
      </c>
      <c r="C15" s="19" t="str">
        <f aca="false">IFERROR(VLOOKUP(B15,$L$8:$M$19,2)," ")</f>
        <v>BOSDA</v>
      </c>
      <c r="D15" s="14" t="s">
        <v>19</v>
      </c>
      <c r="E15" s="19" t="s">
        <v>27</v>
      </c>
      <c r="F15" s="23"/>
      <c r="G15" s="14"/>
      <c r="H15" s="20"/>
      <c r="I15" s="20" t="n">
        <f aca="false">H15*F15</f>
        <v>0</v>
      </c>
      <c r="J15" s="21"/>
      <c r="L15" s="14" t="s">
        <v>48</v>
      </c>
      <c r="M15" s="15" t="s">
        <v>49</v>
      </c>
      <c r="N15" s="22" t="s">
        <v>50</v>
      </c>
      <c r="O15" s="17"/>
      <c r="P15" s="16"/>
    </row>
    <row r="16" customFormat="false" ht="12" hidden="false" customHeight="true" outlineLevel="0" collapsed="false">
      <c r="A16" s="18"/>
      <c r="B16" s="15" t="s">
        <v>45</v>
      </c>
      <c r="C16" s="19" t="str">
        <f aca="false">IFERROR(VLOOKUP(B16,$L$8:$M$19,2)," ")</f>
        <v>Donatur</v>
      </c>
      <c r="D16" s="14" t="s">
        <v>19</v>
      </c>
      <c r="E16" s="19" t="s">
        <v>42</v>
      </c>
      <c r="F16" s="23"/>
      <c r="G16" s="14"/>
      <c r="H16" s="20"/>
      <c r="I16" s="20" t="n">
        <f aca="false">H16*F16</f>
        <v>0</v>
      </c>
      <c r="J16" s="24"/>
      <c r="L16" s="14" t="s">
        <v>51</v>
      </c>
      <c r="M16" s="15" t="s">
        <v>52</v>
      </c>
      <c r="N16" s="22" t="s">
        <v>53</v>
      </c>
      <c r="O16" s="17"/>
      <c r="P16" s="16"/>
    </row>
    <row r="17" customFormat="false" ht="12" hidden="false" customHeight="true" outlineLevel="0" collapsed="false">
      <c r="A17" s="18"/>
      <c r="B17" s="15" t="s">
        <v>54</v>
      </c>
      <c r="C17" s="19" t="str">
        <f aca="false">IFERROR(VLOOKUP(B17,$L$8:$M$19,2)," ")</f>
        <v>Sumbangan IMDA 1-3</v>
      </c>
      <c r="D17" s="14" t="s">
        <v>29</v>
      </c>
      <c r="E17" s="19" t="s">
        <v>53</v>
      </c>
      <c r="F17" s="14" t="n">
        <v>3</v>
      </c>
      <c r="G17" s="14" t="s">
        <v>28</v>
      </c>
      <c r="H17" s="20" t="n">
        <v>2040000</v>
      </c>
      <c r="I17" s="20" t="n">
        <f aca="false">H17*F17</f>
        <v>6120000</v>
      </c>
      <c r="J17" s="24"/>
      <c r="L17" s="14" t="s">
        <v>54</v>
      </c>
      <c r="M17" s="25" t="s">
        <v>55</v>
      </c>
      <c r="N17" s="22"/>
      <c r="O17" s="17"/>
      <c r="P17" s="16"/>
    </row>
    <row r="18" customFormat="false" ht="12" hidden="false" customHeight="true" outlineLevel="0" collapsed="false">
      <c r="A18" s="18"/>
      <c r="B18" s="15" t="s">
        <v>56</v>
      </c>
      <c r="C18" s="19" t="str">
        <f aca="false">IFERROR(VLOOKUP(B18,$L$8:$M$19,2)," ")</f>
        <v>Sumbangan IMDA 4-6</v>
      </c>
      <c r="D18" s="14" t="s">
        <v>29</v>
      </c>
      <c r="E18" s="19" t="s">
        <v>53</v>
      </c>
      <c r="F18" s="14" t="n">
        <v>3</v>
      </c>
      <c r="G18" s="14" t="s">
        <v>28</v>
      </c>
      <c r="H18" s="20" t="n">
        <v>2240000</v>
      </c>
      <c r="I18" s="20" t="n">
        <f aca="false">H18*F18</f>
        <v>6720000</v>
      </c>
      <c r="J18" s="24"/>
      <c r="L18" s="14" t="s">
        <v>56</v>
      </c>
      <c r="M18" s="25" t="s">
        <v>57</v>
      </c>
      <c r="N18" s="22"/>
      <c r="O18" s="17"/>
      <c r="P18" s="16"/>
    </row>
    <row r="19" customFormat="false" ht="12" hidden="false" customHeight="true" outlineLevel="0" collapsed="false">
      <c r="A19" s="18"/>
      <c r="B19" s="15" t="s">
        <v>58</v>
      </c>
      <c r="C19" s="19" t="str">
        <f aca="false">IFERROR(VLOOKUP(B19,$L$8:$M$19,2)," ")</f>
        <v>Sumbangan Tamrin Massal</v>
      </c>
      <c r="D19" s="14" t="s">
        <v>29</v>
      </c>
      <c r="E19" s="19" t="s">
        <v>53</v>
      </c>
      <c r="F19" s="23" t="n">
        <v>124</v>
      </c>
      <c r="G19" s="14" t="s">
        <v>23</v>
      </c>
      <c r="H19" s="20" t="n">
        <v>10000</v>
      </c>
      <c r="I19" s="20" t="n">
        <f aca="false">H19*F19</f>
        <v>1240000</v>
      </c>
      <c r="J19" s="24"/>
      <c r="L19" s="14" t="s">
        <v>58</v>
      </c>
      <c r="M19" s="25" t="s">
        <v>59</v>
      </c>
      <c r="N19" s="22"/>
      <c r="O19" s="17"/>
      <c r="P19" s="16"/>
    </row>
    <row r="20" customFormat="false" ht="14.25" hidden="false" customHeight="true" outlineLevel="0" collapsed="false">
      <c r="A20" s="18"/>
      <c r="B20" s="15"/>
      <c r="C20" s="19" t="str">
        <f aca="false">IFERROR(VLOOKUP(B20,$L$8:$M$19,2)," ")</f>
        <v> </v>
      </c>
      <c r="D20" s="14"/>
      <c r="E20" s="19"/>
      <c r="F20" s="23"/>
      <c r="G20" s="14"/>
      <c r="H20" s="20"/>
      <c r="I20" s="20" t="n">
        <f aca="false">H20*F20</f>
        <v>0</v>
      </c>
      <c r="O20" s="26"/>
      <c r="P20" s="27"/>
    </row>
    <row r="21" customFormat="false" ht="12.75" hidden="false" customHeight="true" outlineLevel="0" collapsed="false">
      <c r="A21" s="18"/>
      <c r="B21" s="28"/>
      <c r="C21" s="19" t="str">
        <f aca="false">IFERROR(VLOOKUP(B21,$L$8:$M$19,2)," ")</f>
        <v> </v>
      </c>
      <c r="D21" s="29"/>
      <c r="E21" s="30"/>
      <c r="F21" s="31"/>
      <c r="G21" s="29"/>
      <c r="H21" s="32"/>
      <c r="I21" s="20" t="n">
        <f aca="false">H21*F21</f>
        <v>0</v>
      </c>
      <c r="J21" s="6"/>
      <c r="L21" s="7" t="s">
        <v>60</v>
      </c>
      <c r="M21" s="7"/>
      <c r="N21" s="7"/>
      <c r="O21" s="7"/>
      <c r="P21" s="7"/>
    </row>
    <row r="22" customFormat="false" ht="16.5" hidden="false" customHeight="true" outlineLevel="0" collapsed="false">
      <c r="A22" s="33" t="s">
        <v>347</v>
      </c>
      <c r="B22" s="33"/>
      <c r="C22" s="33"/>
      <c r="D22" s="33"/>
      <c r="E22" s="33"/>
      <c r="F22" s="33"/>
      <c r="G22" s="33"/>
      <c r="H22" s="33"/>
      <c r="I22" s="34" t="n">
        <f aca="false">SUM(I9:I21)</f>
        <v>108880000</v>
      </c>
      <c r="L22" s="7"/>
      <c r="M22" s="7"/>
      <c r="N22" s="7"/>
      <c r="O22" s="7"/>
      <c r="P22" s="7"/>
    </row>
    <row r="23" customFormat="false" ht="26.85" hidden="false" customHeight="false" outlineLevel="0" collapsed="false">
      <c r="J23" s="3"/>
      <c r="L23" s="7" t="s">
        <v>62</v>
      </c>
      <c r="M23" s="35" t="s">
        <v>63</v>
      </c>
      <c r="N23" s="13" t="s">
        <v>9</v>
      </c>
      <c r="O23" s="7" t="s">
        <v>12</v>
      </c>
      <c r="P23" s="7" t="s">
        <v>10</v>
      </c>
    </row>
    <row r="24" customFormat="false" ht="16.5" hidden="false" customHeight="true" outlineLevel="0" collapsed="false">
      <c r="A24" s="3" t="s">
        <v>64</v>
      </c>
      <c r="B24" s="5" t="s">
        <v>348</v>
      </c>
      <c r="C24" s="5"/>
      <c r="D24" s="5"/>
      <c r="E24" s="5"/>
      <c r="F24" s="5"/>
      <c r="G24" s="5"/>
      <c r="H24" s="5"/>
      <c r="I24" s="5"/>
      <c r="J24" s="36"/>
      <c r="L24" s="37" t="s">
        <v>66</v>
      </c>
      <c r="M24" s="37" t="s">
        <v>67</v>
      </c>
      <c r="N24" s="38"/>
      <c r="O24" s="14" t="s">
        <v>18</v>
      </c>
      <c r="P24" s="15" t="s">
        <v>68</v>
      </c>
    </row>
    <row r="25" customFormat="false" ht="12" hidden="false" customHeight="false" outlineLevel="0" collapsed="false">
      <c r="J25" s="21"/>
      <c r="L25" s="15" t="s">
        <v>69</v>
      </c>
      <c r="M25" s="15" t="s">
        <v>70</v>
      </c>
      <c r="N25" s="16" t="s">
        <v>19</v>
      </c>
      <c r="O25" s="17" t="s">
        <v>23</v>
      </c>
      <c r="P25" s="16" t="s">
        <v>71</v>
      </c>
    </row>
    <row r="26" customFormat="false" ht="50.7" hidden="false" customHeight="false" outlineLevel="0" collapsed="false">
      <c r="A26" s="8" t="s">
        <v>6</v>
      </c>
      <c r="B26" s="8" t="s">
        <v>7</v>
      </c>
      <c r="C26" s="8" t="s">
        <v>8</v>
      </c>
      <c r="D26" s="9" t="s">
        <v>9</v>
      </c>
      <c r="E26" s="8" t="s">
        <v>10</v>
      </c>
      <c r="F26" s="8" t="s">
        <v>11</v>
      </c>
      <c r="G26" s="8" t="s">
        <v>12</v>
      </c>
      <c r="H26" s="9" t="s">
        <v>13</v>
      </c>
      <c r="I26" s="8" t="s">
        <v>14</v>
      </c>
      <c r="J26" s="21"/>
      <c r="L26" s="15" t="s">
        <v>72</v>
      </c>
      <c r="M26" s="15" t="s">
        <v>73</v>
      </c>
      <c r="N26" s="16" t="s">
        <v>24</v>
      </c>
      <c r="O26" s="17" t="s">
        <v>74</v>
      </c>
      <c r="P26" s="16" t="s">
        <v>17</v>
      </c>
    </row>
    <row r="27" customFormat="false" ht="12.65" hidden="false" customHeight="false" outlineLevel="0" collapsed="false">
      <c r="A27" s="39" t="n">
        <v>2</v>
      </c>
      <c r="B27" s="40" t="s">
        <v>66</v>
      </c>
      <c r="C27" s="41" t="str">
        <f aca="false">IFERROR(VLOOKUP(B27,$L$24:$M$28,2)," ")</f>
        <v>Rapat-Rapat</v>
      </c>
      <c r="D27" s="42"/>
      <c r="E27" s="42"/>
      <c r="F27" s="42"/>
      <c r="G27" s="42"/>
      <c r="H27" s="42"/>
      <c r="I27" s="43"/>
      <c r="J27" s="21"/>
      <c r="L27" s="15" t="s">
        <v>75</v>
      </c>
      <c r="M27" s="15" t="s">
        <v>76</v>
      </c>
      <c r="N27" s="16" t="s">
        <v>29</v>
      </c>
      <c r="O27" s="17" t="s">
        <v>77</v>
      </c>
      <c r="P27" s="16" t="s">
        <v>78</v>
      </c>
    </row>
    <row r="28" customFormat="false" ht="12.65" hidden="false" customHeight="false" outlineLevel="0" collapsed="false">
      <c r="A28" s="39"/>
      <c r="B28" s="44" t="s">
        <v>69</v>
      </c>
      <c r="C28" s="45" t="str">
        <f aca="false">IFERROR(VLOOKUP(B28,$L$23:$M$28,2)," ")</f>
        <v>Rapat Penyusunan RK-RAPBM</v>
      </c>
      <c r="D28" s="46" t="s">
        <v>19</v>
      </c>
      <c r="E28" s="44" t="s">
        <v>68</v>
      </c>
      <c r="F28" s="47"/>
      <c r="G28" s="48"/>
      <c r="H28" s="49"/>
      <c r="I28" s="49"/>
      <c r="J28" s="21"/>
      <c r="L28" s="15" t="s">
        <v>79</v>
      </c>
      <c r="M28" s="50" t="s">
        <v>80</v>
      </c>
      <c r="N28" s="16" t="s">
        <v>39</v>
      </c>
      <c r="O28" s="17" t="s">
        <v>81</v>
      </c>
      <c r="P28" s="16" t="s">
        <v>82</v>
      </c>
    </row>
    <row r="29" customFormat="false" ht="15" hidden="false" customHeight="true" outlineLevel="0" collapsed="false">
      <c r="A29" s="39"/>
      <c r="B29" s="15" t="s">
        <v>72</v>
      </c>
      <c r="C29" s="51" t="str">
        <f aca="false">IFERROR(VLOOKUP(B29,$L$23:$M$28,2)," ")</f>
        <v>Rapat Evaluasi Program Madrasah</v>
      </c>
      <c r="D29" s="52" t="s">
        <v>19</v>
      </c>
      <c r="E29" s="15" t="s">
        <v>68</v>
      </c>
      <c r="F29" s="23"/>
      <c r="G29" s="14"/>
      <c r="H29" s="20"/>
      <c r="I29" s="49" t="n">
        <f aca="false">H29*F29</f>
        <v>0</v>
      </c>
      <c r="J29" s="21"/>
      <c r="L29" s="37" t="s">
        <v>83</v>
      </c>
      <c r="M29" s="53" t="s">
        <v>84</v>
      </c>
      <c r="N29" s="16" t="s">
        <v>34</v>
      </c>
      <c r="O29" s="17" t="s">
        <v>85</v>
      </c>
      <c r="P29" s="16" t="s">
        <v>86</v>
      </c>
    </row>
    <row r="30" customFormat="false" ht="14.25" hidden="false" customHeight="true" outlineLevel="0" collapsed="false">
      <c r="A30" s="39"/>
      <c r="B30" s="15" t="s">
        <v>75</v>
      </c>
      <c r="C30" s="51" t="str">
        <f aca="false">IFERROR(VLOOKUP(B30,$L$23:$M$28,2)," ")</f>
        <v>Rapat Evaluasi Wali Kelas</v>
      </c>
      <c r="D30" s="52" t="s">
        <v>24</v>
      </c>
      <c r="E30" s="15" t="s">
        <v>68</v>
      </c>
      <c r="F30" s="23"/>
      <c r="G30" s="14"/>
      <c r="H30" s="20"/>
      <c r="I30" s="49" t="n">
        <f aca="false">H30*F30</f>
        <v>0</v>
      </c>
      <c r="J30" s="54"/>
      <c r="L30" s="55" t="s">
        <v>87</v>
      </c>
      <c r="M30" s="15" t="s">
        <v>88</v>
      </c>
      <c r="N30" s="16" t="s">
        <v>44</v>
      </c>
      <c r="O30" s="56" t="s">
        <v>89</v>
      </c>
      <c r="P30" s="22" t="s">
        <v>90</v>
      </c>
    </row>
    <row r="31" customFormat="false" ht="15" hidden="false" customHeight="false" outlineLevel="0" collapsed="false">
      <c r="A31" s="39"/>
      <c r="B31" s="15" t="s">
        <v>79</v>
      </c>
      <c r="C31" s="51" t="str">
        <f aca="false">IFERROR(VLOOKUP(B31,$L$23:$M$28,2)," ")</f>
        <v>Rapat Koordinasi Guru</v>
      </c>
      <c r="D31" s="52" t="s">
        <v>19</v>
      </c>
      <c r="E31" s="15" t="s">
        <v>68</v>
      </c>
      <c r="F31" s="23"/>
      <c r="G31" s="14"/>
      <c r="H31" s="20"/>
      <c r="I31" s="49" t="n">
        <f aca="false">H31*F31</f>
        <v>0</v>
      </c>
      <c r="J31" s="36"/>
      <c r="L31" s="55" t="s">
        <v>91</v>
      </c>
      <c r="M31" s="15" t="s">
        <v>92</v>
      </c>
      <c r="N31" s="16" t="s">
        <v>47</v>
      </c>
      <c r="O31" s="56" t="s">
        <v>93</v>
      </c>
      <c r="P31" s="22" t="s">
        <v>94</v>
      </c>
    </row>
    <row r="32" customFormat="false" ht="15" hidden="false" customHeight="false" outlineLevel="0" collapsed="false">
      <c r="A32" s="39"/>
      <c r="B32" s="57"/>
      <c r="C32" s="51" t="str">
        <f aca="false">IFERROR(VLOOKUP(B32,$L$23:$M$28,2)," ")</f>
        <v> </v>
      </c>
      <c r="D32" s="58"/>
      <c r="E32" s="57"/>
      <c r="F32" s="59"/>
      <c r="G32" s="60"/>
      <c r="H32" s="61"/>
      <c r="I32" s="49" t="n">
        <f aca="false">H32*F32</f>
        <v>0</v>
      </c>
      <c r="J32" s="21"/>
      <c r="L32" s="55" t="s">
        <v>95</v>
      </c>
      <c r="M32" s="15" t="s">
        <v>96</v>
      </c>
      <c r="N32" s="22"/>
      <c r="O32" s="56" t="s">
        <v>97</v>
      </c>
      <c r="P32" s="22" t="s">
        <v>98</v>
      </c>
    </row>
    <row r="33" customFormat="false" ht="15" hidden="false" customHeight="false" outlineLevel="0" collapsed="false">
      <c r="A33" s="39"/>
      <c r="B33" s="62" t="s">
        <v>99</v>
      </c>
      <c r="C33" s="62"/>
      <c r="D33" s="62"/>
      <c r="E33" s="62"/>
      <c r="F33" s="62"/>
      <c r="G33" s="62"/>
      <c r="H33" s="62"/>
      <c r="I33" s="63" t="n">
        <v>5400000</v>
      </c>
      <c r="J33" s="21"/>
      <c r="L33" s="55" t="s">
        <v>100</v>
      </c>
      <c r="M33" s="15" t="s">
        <v>101</v>
      </c>
      <c r="N33" s="22"/>
      <c r="O33" s="56" t="s">
        <v>102</v>
      </c>
      <c r="P33" s="22" t="s">
        <v>103</v>
      </c>
    </row>
    <row r="34" customFormat="false" ht="15" hidden="false" customHeight="false" outlineLevel="0" collapsed="false">
      <c r="A34" s="39"/>
      <c r="B34" s="40" t="s">
        <v>83</v>
      </c>
      <c r="C34" s="41" t="str">
        <f aca="false">IFERROR(VLOOKUP(B34,$L$29:$M$62,2)," ")</f>
        <v>Inventaris Madrasah</v>
      </c>
      <c r="D34" s="42"/>
      <c r="E34" s="42"/>
      <c r="F34" s="42"/>
      <c r="G34" s="42"/>
      <c r="H34" s="42"/>
      <c r="I34" s="43"/>
      <c r="J34" s="21"/>
      <c r="L34" s="55" t="s">
        <v>104</v>
      </c>
      <c r="M34" s="15" t="s">
        <v>105</v>
      </c>
      <c r="N34" s="22"/>
      <c r="O34" s="56" t="s">
        <v>106</v>
      </c>
      <c r="P34" s="22" t="s">
        <v>107</v>
      </c>
    </row>
    <row r="35" customFormat="false" ht="15" hidden="false" customHeight="false" outlineLevel="0" collapsed="false">
      <c r="A35" s="39"/>
      <c r="B35" s="44" t="s">
        <v>87</v>
      </c>
      <c r="C35" s="45" t="str">
        <f aca="false">IFERROR(VLOOKUP(B35,$L$29:$M$62,2)," ")</f>
        <v>Komputer/Laptop</v>
      </c>
      <c r="D35" s="46" t="s">
        <v>19</v>
      </c>
      <c r="E35" s="44" t="s">
        <v>78</v>
      </c>
      <c r="F35" s="47"/>
      <c r="G35" s="48"/>
      <c r="H35" s="49"/>
      <c r="I35" s="49" t="n">
        <f aca="false">H35*F35</f>
        <v>0</v>
      </c>
      <c r="J35" s="21"/>
      <c r="L35" s="55" t="s">
        <v>108</v>
      </c>
      <c r="M35" s="15" t="s">
        <v>109</v>
      </c>
      <c r="N35" s="22"/>
      <c r="O35" s="56" t="s">
        <v>110</v>
      </c>
      <c r="P35" s="16" t="s">
        <v>111</v>
      </c>
    </row>
    <row r="36" customFormat="false" ht="15" hidden="false" customHeight="false" outlineLevel="0" collapsed="false">
      <c r="A36" s="39"/>
      <c r="B36" s="15" t="s">
        <v>100</v>
      </c>
      <c r="C36" s="19" t="str">
        <f aca="false">IFERROR(VLOOKUP(B36,$L$29:$M$62,2)," ")</f>
        <v>Printer</v>
      </c>
      <c r="D36" s="52" t="s">
        <v>19</v>
      </c>
      <c r="E36" s="15" t="s">
        <v>78</v>
      </c>
      <c r="F36" s="23"/>
      <c r="G36" s="14"/>
      <c r="H36" s="20"/>
      <c r="I36" s="49" t="n">
        <f aca="false">H36*F36</f>
        <v>0</v>
      </c>
      <c r="J36" s="21"/>
      <c r="L36" s="55" t="s">
        <v>112</v>
      </c>
      <c r="M36" s="15" t="s">
        <v>113</v>
      </c>
      <c r="N36" s="22"/>
      <c r="O36" s="56" t="s">
        <v>114</v>
      </c>
      <c r="P36" s="22" t="s">
        <v>115</v>
      </c>
    </row>
    <row r="37" customFormat="false" ht="15" hidden="false" customHeight="false" outlineLevel="0" collapsed="false">
      <c r="A37" s="39"/>
      <c r="B37" s="15" t="s">
        <v>108</v>
      </c>
      <c r="C37" s="19" t="str">
        <f aca="false">IFERROR(VLOOKUP(B37,$L$29:$M$62,2)," ")</f>
        <v>Papan Tulis</v>
      </c>
      <c r="D37" s="52" t="s">
        <v>19</v>
      </c>
      <c r="E37" s="15" t="s">
        <v>98</v>
      </c>
      <c r="F37" s="23"/>
      <c r="G37" s="14"/>
      <c r="H37" s="20"/>
      <c r="I37" s="49" t="n">
        <f aca="false">H37*F37</f>
        <v>0</v>
      </c>
      <c r="J37" s="21"/>
      <c r="L37" s="55" t="s">
        <v>116</v>
      </c>
      <c r="M37" s="15" t="s">
        <v>117</v>
      </c>
      <c r="N37" s="22"/>
      <c r="O37" s="56" t="s">
        <v>118</v>
      </c>
      <c r="P37" s="22" t="s">
        <v>119</v>
      </c>
    </row>
    <row r="38" customFormat="false" ht="15" hidden="false" customHeight="false" outlineLevel="0" collapsed="false">
      <c r="A38" s="39"/>
      <c r="B38" s="15" t="s">
        <v>112</v>
      </c>
      <c r="C38" s="19" t="str">
        <f aca="false">IFERROR(VLOOKUP(B38,$L$29:$M$62,2)," ")</f>
        <v>Meja Guru</v>
      </c>
      <c r="D38" s="52" t="s">
        <v>19</v>
      </c>
      <c r="E38" s="15" t="s">
        <v>98</v>
      </c>
      <c r="F38" s="23"/>
      <c r="G38" s="14"/>
      <c r="H38" s="20"/>
      <c r="I38" s="49" t="n">
        <f aca="false">H38*F38</f>
        <v>0</v>
      </c>
      <c r="J38" s="21"/>
      <c r="L38" s="55" t="s">
        <v>120</v>
      </c>
      <c r="M38" s="15" t="s">
        <v>121</v>
      </c>
      <c r="N38" s="22"/>
      <c r="O38" s="56" t="s">
        <v>122</v>
      </c>
      <c r="P38" s="22" t="s">
        <v>123</v>
      </c>
    </row>
    <row r="39" customFormat="false" ht="15" hidden="false" customHeight="false" outlineLevel="0" collapsed="false">
      <c r="A39" s="39"/>
      <c r="B39" s="15" t="s">
        <v>116</v>
      </c>
      <c r="C39" s="19" t="str">
        <f aca="false">IFERROR(VLOOKUP(B39,$L$29:$M$62,2)," ")</f>
        <v>Kursi Guru</v>
      </c>
      <c r="D39" s="52" t="s">
        <v>19</v>
      </c>
      <c r="E39" s="15" t="s">
        <v>98</v>
      </c>
      <c r="F39" s="23"/>
      <c r="G39" s="14"/>
      <c r="H39" s="20"/>
      <c r="I39" s="49" t="n">
        <f aca="false">H39*F39</f>
        <v>0</v>
      </c>
      <c r="J39" s="21"/>
      <c r="L39" s="55" t="s">
        <v>124</v>
      </c>
      <c r="M39" s="15" t="s">
        <v>125</v>
      </c>
      <c r="N39" s="22"/>
      <c r="O39" s="56" t="s">
        <v>126</v>
      </c>
      <c r="P39" s="22" t="s">
        <v>127</v>
      </c>
    </row>
    <row r="40" customFormat="false" ht="15" hidden="false" customHeight="false" outlineLevel="0" collapsed="false">
      <c r="A40" s="39"/>
      <c r="B40" s="15" t="s">
        <v>120</v>
      </c>
      <c r="C40" s="19" t="str">
        <f aca="false">IFERROR(VLOOKUP(B40,$L$29:$M$62,2)," ")</f>
        <v>Meja Murid</v>
      </c>
      <c r="D40" s="52" t="s">
        <v>19</v>
      </c>
      <c r="E40" s="15" t="s">
        <v>98</v>
      </c>
      <c r="F40" s="23"/>
      <c r="G40" s="14"/>
      <c r="H40" s="20"/>
      <c r="I40" s="49" t="n">
        <f aca="false">H40*F40</f>
        <v>0</v>
      </c>
      <c r="J40" s="21"/>
      <c r="L40" s="55" t="s">
        <v>128</v>
      </c>
      <c r="M40" s="15" t="s">
        <v>129</v>
      </c>
      <c r="N40" s="22"/>
      <c r="O40" s="56" t="s">
        <v>130</v>
      </c>
      <c r="P40" s="22" t="s">
        <v>131</v>
      </c>
    </row>
    <row r="41" customFormat="false" ht="15" hidden="false" customHeight="false" outlineLevel="0" collapsed="false">
      <c r="A41" s="39"/>
      <c r="B41" s="15" t="s">
        <v>124</v>
      </c>
      <c r="C41" s="19" t="str">
        <f aca="false">IFERROR(VLOOKUP(B41,$L$29:$M$62,2)," ")</f>
        <v>Kursi Murid</v>
      </c>
      <c r="D41" s="52" t="s">
        <v>19</v>
      </c>
      <c r="E41" s="15" t="s">
        <v>98</v>
      </c>
      <c r="F41" s="23"/>
      <c r="G41" s="14"/>
      <c r="H41" s="20"/>
      <c r="I41" s="49" t="n">
        <f aca="false">H41*F41</f>
        <v>0</v>
      </c>
      <c r="J41" s="21"/>
      <c r="L41" s="55" t="s">
        <v>132</v>
      </c>
      <c r="M41" s="15" t="s">
        <v>133</v>
      </c>
      <c r="N41" s="22"/>
      <c r="O41" s="56" t="s">
        <v>134</v>
      </c>
      <c r="P41" s="16" t="s">
        <v>135</v>
      </c>
    </row>
    <row r="42" customFormat="false" ht="15" hidden="false" customHeight="false" outlineLevel="0" collapsed="false">
      <c r="A42" s="39"/>
      <c r="B42" s="15" t="s">
        <v>140</v>
      </c>
      <c r="C42" s="19" t="str">
        <f aca="false">IFERROR(VLOOKUP(B42,$L$29:$M$62,2)," ")</f>
        <v>Speaker Aktif</v>
      </c>
      <c r="D42" s="52" t="s">
        <v>19</v>
      </c>
      <c r="E42" s="15" t="s">
        <v>17</v>
      </c>
      <c r="F42" s="23"/>
      <c r="G42" s="14"/>
      <c r="H42" s="20"/>
      <c r="I42" s="49" t="n">
        <f aca="false">H42*F42</f>
        <v>0</v>
      </c>
      <c r="J42" s="21"/>
      <c r="L42" s="55" t="s">
        <v>136</v>
      </c>
      <c r="M42" s="15" t="s">
        <v>137</v>
      </c>
      <c r="N42" s="22"/>
      <c r="O42" s="56" t="s">
        <v>138</v>
      </c>
      <c r="P42" s="22" t="s">
        <v>139</v>
      </c>
    </row>
    <row r="43" customFormat="false" ht="15" hidden="false" customHeight="false" outlineLevel="0" collapsed="false">
      <c r="A43" s="39"/>
      <c r="B43" s="15" t="s">
        <v>155</v>
      </c>
      <c r="C43" s="19" t="str">
        <f aca="false">IFERROR(VLOOKUP(B43,$L$29:$M$62,2)," ")</f>
        <v>Terminal Listrik</v>
      </c>
      <c r="D43" s="52" t="s">
        <v>19</v>
      </c>
      <c r="E43" s="15" t="s">
        <v>17</v>
      </c>
      <c r="F43" s="23"/>
      <c r="G43" s="14"/>
      <c r="H43" s="20"/>
      <c r="I43" s="49" t="n">
        <f aca="false">H43*F43</f>
        <v>0</v>
      </c>
      <c r="J43" s="21"/>
      <c r="L43" s="55" t="s">
        <v>140</v>
      </c>
      <c r="M43" s="15" t="s">
        <v>141</v>
      </c>
      <c r="N43" s="22"/>
      <c r="O43" s="56" t="s">
        <v>142</v>
      </c>
      <c r="P43" s="22" t="s">
        <v>143</v>
      </c>
    </row>
    <row r="44" customFormat="false" ht="15" hidden="false" customHeight="false" outlineLevel="0" collapsed="false">
      <c r="A44" s="39"/>
      <c r="B44" s="15" t="s">
        <v>177</v>
      </c>
      <c r="C44" s="19" t="str">
        <f aca="false">IFERROR(VLOOKUP(B44,$L$29:$M$62,2)," ")</f>
        <v>Buku Induk Murid</v>
      </c>
      <c r="D44" s="52" t="s">
        <v>19</v>
      </c>
      <c r="E44" s="15" t="s">
        <v>78</v>
      </c>
      <c r="F44" s="23"/>
      <c r="G44" s="14"/>
      <c r="H44" s="20"/>
      <c r="I44" s="49" t="n">
        <f aca="false">H44*F44</f>
        <v>0</v>
      </c>
      <c r="J44" s="21"/>
      <c r="L44" s="55" t="s">
        <v>144</v>
      </c>
      <c r="M44" s="15" t="s">
        <v>145</v>
      </c>
      <c r="N44" s="22"/>
      <c r="O44" s="56" t="s">
        <v>146</v>
      </c>
      <c r="P44" s="22" t="s">
        <v>147</v>
      </c>
    </row>
    <row r="45" customFormat="false" ht="15" hidden="false" customHeight="false" outlineLevel="0" collapsed="false">
      <c r="A45" s="39"/>
      <c r="B45" s="15"/>
      <c r="C45" s="19" t="str">
        <f aca="false">IFERROR(VLOOKUP(B45,$L$29:$M$62,2)," ")</f>
        <v> </v>
      </c>
      <c r="D45" s="52"/>
      <c r="E45" s="15"/>
      <c r="F45" s="23"/>
      <c r="G45" s="14"/>
      <c r="H45" s="20"/>
      <c r="I45" s="49" t="n">
        <f aca="false">H45*F45</f>
        <v>0</v>
      </c>
      <c r="J45" s="21"/>
      <c r="L45" s="55" t="s">
        <v>148</v>
      </c>
      <c r="M45" s="15" t="s">
        <v>149</v>
      </c>
      <c r="N45" s="22"/>
      <c r="O45" s="56" t="s">
        <v>150</v>
      </c>
      <c r="P45" s="22"/>
    </row>
    <row r="46" customFormat="false" ht="15" hidden="false" customHeight="false" outlineLevel="0" collapsed="false">
      <c r="A46" s="39"/>
      <c r="B46" s="15"/>
      <c r="C46" s="19" t="str">
        <f aca="false">IFERROR(VLOOKUP(B46,$L$29:$M$62,2)," ")</f>
        <v> </v>
      </c>
      <c r="D46" s="52"/>
      <c r="E46" s="15"/>
      <c r="F46" s="23"/>
      <c r="G46" s="14"/>
      <c r="H46" s="20"/>
      <c r="I46" s="49" t="n">
        <f aca="false">H46*F46</f>
        <v>0</v>
      </c>
      <c r="J46" s="54"/>
      <c r="L46" s="55" t="s">
        <v>152</v>
      </c>
      <c r="M46" s="64" t="s">
        <v>153</v>
      </c>
      <c r="N46" s="22"/>
      <c r="O46" s="56" t="s">
        <v>154</v>
      </c>
      <c r="P46" s="22"/>
    </row>
    <row r="47" customFormat="false" ht="15" hidden="false" customHeight="false" outlineLevel="0" collapsed="false">
      <c r="A47" s="39"/>
      <c r="B47" s="15"/>
      <c r="C47" s="19" t="str">
        <f aca="false">IFERROR(VLOOKUP(B47,$L$29:$M$62,2)," ")</f>
        <v> </v>
      </c>
      <c r="D47" s="52"/>
      <c r="E47" s="15"/>
      <c r="F47" s="23"/>
      <c r="G47" s="14"/>
      <c r="H47" s="20"/>
      <c r="I47" s="49" t="n">
        <f aca="false">H47*F47</f>
        <v>0</v>
      </c>
      <c r="J47" s="36"/>
      <c r="L47" s="55" t="s">
        <v>155</v>
      </c>
      <c r="M47" s="64" t="s">
        <v>156</v>
      </c>
      <c r="N47" s="22"/>
      <c r="O47" s="56" t="s">
        <v>157</v>
      </c>
      <c r="P47" s="22"/>
    </row>
    <row r="48" customFormat="false" ht="15" hidden="false" customHeight="false" outlineLevel="0" collapsed="false">
      <c r="A48" s="39"/>
      <c r="B48" s="57"/>
      <c r="C48" s="51" t="str">
        <f aca="false">IFERROR(VLOOKUP(B48,$L$29:$M$62,2)," ")</f>
        <v> </v>
      </c>
      <c r="D48" s="58"/>
      <c r="E48" s="57"/>
      <c r="F48" s="59"/>
      <c r="G48" s="60"/>
      <c r="H48" s="61"/>
      <c r="I48" s="49" t="n">
        <f aca="false">H48*F48</f>
        <v>0</v>
      </c>
      <c r="J48" s="21"/>
      <c r="L48" s="55" t="s">
        <v>158</v>
      </c>
      <c r="M48" s="64" t="s">
        <v>159</v>
      </c>
      <c r="N48" s="22"/>
      <c r="O48" s="56" t="s">
        <v>160</v>
      </c>
      <c r="P48" s="22"/>
    </row>
    <row r="49" customFormat="false" ht="15" hidden="false" customHeight="false" outlineLevel="0" collapsed="false">
      <c r="A49" s="39"/>
      <c r="B49" s="62" t="s">
        <v>99</v>
      </c>
      <c r="C49" s="62"/>
      <c r="D49" s="62"/>
      <c r="E49" s="62"/>
      <c r="F49" s="62"/>
      <c r="G49" s="62"/>
      <c r="H49" s="62"/>
      <c r="I49" s="63" t="n">
        <v>14945000</v>
      </c>
      <c r="J49" s="21"/>
      <c r="L49" s="55" t="s">
        <v>161</v>
      </c>
      <c r="M49" s="64" t="s">
        <v>162</v>
      </c>
      <c r="N49" s="22"/>
      <c r="O49" s="56" t="s">
        <v>163</v>
      </c>
      <c r="P49" s="22"/>
    </row>
    <row r="50" customFormat="false" ht="15" hidden="false" customHeight="false" outlineLevel="0" collapsed="false">
      <c r="A50" s="39"/>
      <c r="B50" s="40" t="s">
        <v>164</v>
      </c>
      <c r="C50" s="41" t="str">
        <f aca="false">IFERROR(VLOOKUP(B50,$L$63:$M$72,2)," ")</f>
        <v>Pengembangan PTK</v>
      </c>
      <c r="D50" s="42"/>
      <c r="E50" s="42"/>
      <c r="F50" s="42"/>
      <c r="G50" s="42"/>
      <c r="H50" s="42"/>
      <c r="I50" s="43"/>
      <c r="J50" s="21"/>
      <c r="L50" s="55" t="s">
        <v>165</v>
      </c>
      <c r="M50" s="64" t="s">
        <v>166</v>
      </c>
      <c r="N50" s="22"/>
      <c r="O50" s="56" t="s">
        <v>167</v>
      </c>
      <c r="P50" s="22"/>
    </row>
    <row r="51" customFormat="false" ht="15" hidden="false" customHeight="false" outlineLevel="0" collapsed="false">
      <c r="A51" s="39"/>
      <c r="B51" s="44" t="s">
        <v>199</v>
      </c>
      <c r="C51" s="45" t="str">
        <f aca="false">IFERROR(VLOOKUP(B51,$L$63:$M$72,2)," ")</f>
        <v>Kursus Metode Mengajar al-Miftah Lil Ulum</v>
      </c>
      <c r="D51" s="46" t="s">
        <v>19</v>
      </c>
      <c r="E51" s="44" t="s">
        <v>127</v>
      </c>
      <c r="F51" s="47"/>
      <c r="G51" s="48"/>
      <c r="H51" s="49"/>
      <c r="I51" s="49" t="n">
        <f aca="false">H51*F51</f>
        <v>0</v>
      </c>
      <c r="J51" s="21"/>
      <c r="L51" s="55" t="s">
        <v>168</v>
      </c>
      <c r="M51" s="64" t="s">
        <v>169</v>
      </c>
      <c r="N51" s="22"/>
      <c r="O51" s="56" t="s">
        <v>170</v>
      </c>
      <c r="P51" s="22"/>
    </row>
    <row r="52" customFormat="false" ht="15" hidden="false" customHeight="false" outlineLevel="0" collapsed="false">
      <c r="A52" s="39"/>
      <c r="B52" s="15" t="s">
        <v>203</v>
      </c>
      <c r="C52" s="19" t="str">
        <f aca="false">IFERROR(VLOOKUP(B52,$L$63:$M$72,2)," ")</f>
        <v>Pembinaan Metode Mengajar al-Miftah Lil Ulum</v>
      </c>
      <c r="D52" s="46" t="s">
        <v>24</v>
      </c>
      <c r="E52" s="44" t="s">
        <v>127</v>
      </c>
      <c r="F52" s="47"/>
      <c r="G52" s="48"/>
      <c r="H52" s="20"/>
      <c r="I52" s="49" t="n">
        <f aca="false">H52*F52</f>
        <v>0</v>
      </c>
      <c r="J52" s="21"/>
      <c r="L52" s="55" t="s">
        <v>171</v>
      </c>
      <c r="M52" s="64" t="s">
        <v>172</v>
      </c>
      <c r="N52" s="22"/>
      <c r="O52" s="56" t="s">
        <v>173</v>
      </c>
      <c r="P52" s="22"/>
    </row>
    <row r="53" customFormat="false" ht="15" hidden="false" customHeight="false" outlineLevel="0" collapsed="false">
      <c r="A53" s="39"/>
      <c r="B53" s="15" t="s">
        <v>201</v>
      </c>
      <c r="C53" s="19" t="str">
        <f aca="false">IFERROR(VLOOKUP(B53,$L$63:$M$72,2)," ")</f>
        <v>Pembinaan Metode Mengajar MQS</v>
      </c>
      <c r="D53" s="46" t="s">
        <v>24</v>
      </c>
      <c r="E53" s="44" t="s">
        <v>127</v>
      </c>
      <c r="F53" s="47"/>
      <c r="G53" s="48"/>
      <c r="H53" s="20"/>
      <c r="I53" s="49" t="n">
        <f aca="false">H53*F53</f>
        <v>0</v>
      </c>
      <c r="J53" s="21"/>
      <c r="L53" s="55" t="s">
        <v>174</v>
      </c>
      <c r="M53" s="64" t="s">
        <v>175</v>
      </c>
      <c r="N53" s="22"/>
      <c r="O53" s="56" t="s">
        <v>176</v>
      </c>
      <c r="P53" s="22"/>
    </row>
    <row r="54" customFormat="false" ht="15" hidden="false" customHeight="false" outlineLevel="0" collapsed="false">
      <c r="A54" s="39"/>
      <c r="B54" s="15"/>
      <c r="C54" s="19" t="str">
        <f aca="false">IFERROR(VLOOKUP(B54,$L$63:$M$72,2)," ")</f>
        <v> </v>
      </c>
      <c r="D54" s="46"/>
      <c r="E54" s="44"/>
      <c r="F54" s="47"/>
      <c r="G54" s="48"/>
      <c r="H54" s="20"/>
      <c r="I54" s="49" t="n">
        <f aca="false">H54*F54</f>
        <v>0</v>
      </c>
      <c r="J54" s="21"/>
      <c r="L54" s="55" t="s">
        <v>177</v>
      </c>
      <c r="M54" s="64" t="s">
        <v>178</v>
      </c>
      <c r="N54" s="22"/>
      <c r="O54" s="56" t="s">
        <v>179</v>
      </c>
      <c r="P54" s="22"/>
    </row>
    <row r="55" customFormat="false" ht="15" hidden="false" customHeight="false" outlineLevel="0" collapsed="false">
      <c r="A55" s="39"/>
      <c r="B55" s="15"/>
      <c r="C55" s="19" t="str">
        <f aca="false">IFERROR(VLOOKUP(B55,$L$63:$M$72,2)," ")</f>
        <v> </v>
      </c>
      <c r="D55" s="46"/>
      <c r="E55" s="44"/>
      <c r="F55" s="47"/>
      <c r="G55" s="48"/>
      <c r="H55" s="20"/>
      <c r="I55" s="49" t="n">
        <f aca="false">H55*F55</f>
        <v>0</v>
      </c>
      <c r="J55" s="21"/>
      <c r="L55" s="55" t="s">
        <v>180</v>
      </c>
      <c r="M55" s="64" t="s">
        <v>181</v>
      </c>
      <c r="N55" s="22"/>
      <c r="O55" s="56" t="s">
        <v>182</v>
      </c>
      <c r="P55" s="22"/>
    </row>
    <row r="56" customFormat="false" ht="15" hidden="false" customHeight="true" outlineLevel="0" collapsed="false">
      <c r="A56" s="39"/>
      <c r="B56" s="15"/>
      <c r="C56" s="19" t="str">
        <f aca="false">IFERROR(VLOOKUP(B56,$L$63:$M$72,2)," ")</f>
        <v> </v>
      </c>
      <c r="D56" s="46"/>
      <c r="E56" s="44"/>
      <c r="F56" s="47"/>
      <c r="G56" s="48"/>
      <c r="H56" s="20"/>
      <c r="I56" s="49" t="n">
        <f aca="false">H56*F56</f>
        <v>0</v>
      </c>
      <c r="J56" s="54"/>
      <c r="L56" s="55" t="s">
        <v>183</v>
      </c>
      <c r="M56" s="64" t="s">
        <v>184</v>
      </c>
      <c r="N56" s="22"/>
      <c r="O56" s="56"/>
      <c r="P56" s="22"/>
    </row>
    <row r="57" customFormat="false" ht="15" hidden="false" customHeight="false" outlineLevel="0" collapsed="false">
      <c r="A57" s="39"/>
      <c r="B57" s="15"/>
      <c r="C57" s="19" t="str">
        <f aca="false">IFERROR(VLOOKUP(B57,$L$63:$M$72,2)," ")</f>
        <v> </v>
      </c>
      <c r="D57" s="46"/>
      <c r="E57" s="44"/>
      <c r="F57" s="47"/>
      <c r="G57" s="48"/>
      <c r="H57" s="20"/>
      <c r="I57" s="49" t="n">
        <f aca="false">H57*F57</f>
        <v>0</v>
      </c>
      <c r="J57" s="36"/>
      <c r="L57" s="55" t="s">
        <v>185</v>
      </c>
      <c r="M57" s="64" t="s">
        <v>186</v>
      </c>
      <c r="N57" s="22"/>
      <c r="O57" s="56"/>
      <c r="P57" s="22"/>
    </row>
    <row r="58" customFormat="false" ht="15" hidden="false" customHeight="false" outlineLevel="0" collapsed="false">
      <c r="A58" s="39"/>
      <c r="B58" s="15"/>
      <c r="C58" s="30" t="str">
        <f aca="false">IFERROR(VLOOKUP(B58,$L$63:$M$72,2)," ")</f>
        <v> </v>
      </c>
      <c r="D58" s="46"/>
      <c r="E58" s="44"/>
      <c r="F58" s="47"/>
      <c r="G58" s="48"/>
      <c r="H58" s="20"/>
      <c r="I58" s="49" t="n">
        <f aca="false">H58*F58</f>
        <v>0</v>
      </c>
      <c r="J58" s="21"/>
      <c r="L58" s="55" t="s">
        <v>187</v>
      </c>
      <c r="M58" s="64" t="s">
        <v>188</v>
      </c>
      <c r="N58" s="22"/>
      <c r="O58" s="56"/>
      <c r="P58" s="22"/>
    </row>
    <row r="59" customFormat="false" ht="15" hidden="false" customHeight="false" outlineLevel="0" collapsed="false">
      <c r="A59" s="39"/>
      <c r="B59" s="65" t="s">
        <v>99</v>
      </c>
      <c r="C59" s="65"/>
      <c r="D59" s="65"/>
      <c r="E59" s="65"/>
      <c r="F59" s="65"/>
      <c r="G59" s="65"/>
      <c r="H59" s="65"/>
      <c r="I59" s="63" t="n">
        <v>2450000</v>
      </c>
      <c r="J59" s="21"/>
      <c r="L59" s="55" t="s">
        <v>189</v>
      </c>
      <c r="M59" s="64" t="s">
        <v>190</v>
      </c>
      <c r="N59" s="22"/>
      <c r="O59" s="56"/>
      <c r="P59" s="22"/>
    </row>
    <row r="60" customFormat="false" ht="15" hidden="false" customHeight="false" outlineLevel="0" collapsed="false">
      <c r="A60" s="39"/>
      <c r="B60" s="40" t="s">
        <v>191</v>
      </c>
      <c r="C60" s="41" t="str">
        <f aca="false">IFERROR(VLOOKUP(B60,$L$73:$M$78,2)," ")</f>
        <v>Bisyaroh PTK</v>
      </c>
      <c r="D60" s="42"/>
      <c r="E60" s="42"/>
      <c r="F60" s="42"/>
      <c r="G60" s="42"/>
      <c r="H60" s="42"/>
      <c r="I60" s="43"/>
      <c r="J60" s="21"/>
      <c r="L60" s="55" t="s">
        <v>192</v>
      </c>
      <c r="M60" s="64" t="s">
        <v>193</v>
      </c>
      <c r="N60" s="22"/>
      <c r="O60" s="56"/>
      <c r="P60" s="22"/>
    </row>
    <row r="61" customFormat="false" ht="15" hidden="false" customHeight="false" outlineLevel="0" collapsed="false">
      <c r="A61" s="39"/>
      <c r="B61" s="44" t="s">
        <v>219</v>
      </c>
      <c r="C61" s="66" t="str">
        <f aca="false">IFERROR(VLOOKUP(B61,$L$73:$M$78,2)," ")</f>
        <v>Kepala Madrasah</v>
      </c>
      <c r="D61" s="46" t="s">
        <v>24</v>
      </c>
      <c r="E61" s="44" t="s">
        <v>17</v>
      </c>
      <c r="F61" s="47"/>
      <c r="G61" s="48"/>
      <c r="H61" s="49"/>
      <c r="I61" s="49" t="n">
        <f aca="false">H61*F61</f>
        <v>0</v>
      </c>
      <c r="J61" s="21"/>
      <c r="L61" s="55" t="s">
        <v>194</v>
      </c>
      <c r="M61" s="64" t="s">
        <v>195</v>
      </c>
      <c r="N61" s="22"/>
      <c r="O61" s="56"/>
      <c r="P61" s="22"/>
    </row>
    <row r="62" customFormat="false" ht="15" hidden="false" customHeight="false" outlineLevel="0" collapsed="false">
      <c r="A62" s="39"/>
      <c r="B62" s="15" t="s">
        <v>226</v>
      </c>
      <c r="C62" s="19" t="str">
        <f aca="false">IFERROR(VLOOKUP(B62,$L$73:$M$78,2)," ")</f>
        <v>Wali Kelas</v>
      </c>
      <c r="D62" s="46" t="s">
        <v>24</v>
      </c>
      <c r="E62" s="44" t="s">
        <v>17</v>
      </c>
      <c r="F62" s="47"/>
      <c r="G62" s="48"/>
      <c r="H62" s="20"/>
      <c r="I62" s="49" t="n">
        <f aca="false">H62*F62</f>
        <v>0</v>
      </c>
      <c r="J62" s="21"/>
      <c r="L62" s="55" t="s">
        <v>196</v>
      </c>
      <c r="M62" s="15" t="s">
        <v>197</v>
      </c>
      <c r="N62" s="22"/>
      <c r="O62" s="56"/>
      <c r="P62" s="22"/>
    </row>
    <row r="63" customFormat="false" ht="15.75" hidden="false" customHeight="true" outlineLevel="0" collapsed="false">
      <c r="A63" s="39"/>
      <c r="B63" s="15" t="s">
        <v>220</v>
      </c>
      <c r="C63" s="19" t="str">
        <f aca="false">IFERROR(VLOOKUP(B63,$L$73:$M$78,2)," ")</f>
        <v>Guru</v>
      </c>
      <c r="D63" s="46" t="s">
        <v>29</v>
      </c>
      <c r="E63" s="44" t="s">
        <v>17</v>
      </c>
      <c r="F63" s="47"/>
      <c r="G63" s="48"/>
      <c r="H63" s="20"/>
      <c r="I63" s="49" t="n">
        <f aca="false">H63*F63</f>
        <v>0</v>
      </c>
      <c r="J63" s="54"/>
      <c r="L63" s="37" t="s">
        <v>164</v>
      </c>
      <c r="M63" s="37" t="s">
        <v>198</v>
      </c>
      <c r="N63" s="67"/>
      <c r="O63" s="56"/>
      <c r="P63" s="22"/>
    </row>
    <row r="64" customFormat="false" ht="15" hidden="false" customHeight="false" outlineLevel="0" collapsed="false">
      <c r="A64" s="39"/>
      <c r="B64" s="15" t="s">
        <v>222</v>
      </c>
      <c r="C64" s="19" t="str">
        <f aca="false">IFERROR(VLOOKUP(B64,$L$73:$M$78,2)," ")</f>
        <v>Tenaga Administrasi/TU</v>
      </c>
      <c r="D64" s="46" t="s">
        <v>24</v>
      </c>
      <c r="E64" s="44" t="s">
        <v>17</v>
      </c>
      <c r="F64" s="47"/>
      <c r="G64" s="48"/>
      <c r="H64" s="20"/>
      <c r="I64" s="49" t="n">
        <f aca="false">H64*F64</f>
        <v>0</v>
      </c>
      <c r="J64" s="36"/>
      <c r="L64" s="55" t="s">
        <v>199</v>
      </c>
      <c r="M64" s="64" t="s">
        <v>200</v>
      </c>
      <c r="N64" s="22"/>
      <c r="O64" s="56"/>
      <c r="P64" s="22"/>
    </row>
    <row r="65" customFormat="false" ht="15" hidden="false" customHeight="false" outlineLevel="0" collapsed="false">
      <c r="A65" s="39"/>
      <c r="B65" s="15"/>
      <c r="C65" s="30" t="str">
        <f aca="false">IFERROR(VLOOKUP(B65,$L$73:$M$78,2)," ")</f>
        <v> </v>
      </c>
      <c r="D65" s="46"/>
      <c r="E65" s="44"/>
      <c r="F65" s="47"/>
      <c r="G65" s="48"/>
      <c r="H65" s="20"/>
      <c r="I65" s="68" t="n">
        <f aca="false">H65*F65</f>
        <v>0</v>
      </c>
      <c r="J65" s="21"/>
      <c r="L65" s="55" t="s">
        <v>201</v>
      </c>
      <c r="M65" s="64" t="s">
        <v>202</v>
      </c>
      <c r="N65" s="22"/>
      <c r="O65" s="56"/>
      <c r="P65" s="22"/>
    </row>
    <row r="66" customFormat="false" ht="15" hidden="false" customHeight="false" outlineLevel="0" collapsed="false">
      <c r="A66" s="39"/>
      <c r="B66" s="62" t="s">
        <v>99</v>
      </c>
      <c r="C66" s="62"/>
      <c r="D66" s="62"/>
      <c r="E66" s="62"/>
      <c r="F66" s="62"/>
      <c r="G66" s="62"/>
      <c r="H66" s="62"/>
      <c r="I66" s="63" t="n">
        <v>33500000</v>
      </c>
      <c r="J66" s="21"/>
      <c r="L66" s="55" t="s">
        <v>203</v>
      </c>
      <c r="M66" s="64" t="s">
        <v>204</v>
      </c>
      <c r="N66" s="22"/>
      <c r="O66" s="56"/>
      <c r="P66" s="22"/>
    </row>
    <row r="67" customFormat="false" ht="15" hidden="false" customHeight="false" outlineLevel="0" collapsed="false">
      <c r="A67" s="39"/>
      <c r="B67" s="40" t="s">
        <v>205</v>
      </c>
      <c r="C67" s="69" t="str">
        <f aca="false">IFERROR(VLOOKUP(B67,$L$79:$M$84,2)," ")</f>
        <v>ATK dan Bahan Habis Pakai</v>
      </c>
      <c r="D67" s="42"/>
      <c r="E67" s="42"/>
      <c r="F67" s="42"/>
      <c r="G67" s="42"/>
      <c r="H67" s="42"/>
      <c r="I67" s="43"/>
      <c r="J67" s="21"/>
      <c r="L67" s="55" t="s">
        <v>206</v>
      </c>
      <c r="M67" s="64" t="s">
        <v>207</v>
      </c>
      <c r="N67" s="22"/>
      <c r="O67" s="56"/>
      <c r="P67" s="22"/>
    </row>
    <row r="68" customFormat="false" ht="15" hidden="false" customHeight="false" outlineLevel="0" collapsed="false">
      <c r="A68" s="39"/>
      <c r="B68" s="44" t="s">
        <v>228</v>
      </c>
      <c r="C68" s="70" t="str">
        <f aca="false">IFERROR(VLOOKUP(B68,$L$79:$M$84,2)," ")</f>
        <v>Kertas F4</v>
      </c>
      <c r="D68" s="46" t="s">
        <v>47</v>
      </c>
      <c r="E68" s="44" t="s">
        <v>78</v>
      </c>
      <c r="F68" s="47"/>
      <c r="G68" s="48"/>
      <c r="H68" s="49"/>
      <c r="I68" s="49" t="n">
        <f aca="false">H68*F68</f>
        <v>0</v>
      </c>
      <c r="J68" s="21"/>
      <c r="L68" s="55" t="s">
        <v>208</v>
      </c>
      <c r="M68" s="64" t="s">
        <v>209</v>
      </c>
      <c r="N68" s="22"/>
      <c r="O68" s="56"/>
      <c r="P68" s="22"/>
    </row>
    <row r="69" customFormat="false" ht="15" hidden="false" customHeight="false" outlineLevel="0" collapsed="false">
      <c r="A69" s="39"/>
      <c r="B69" s="15" t="s">
        <v>230</v>
      </c>
      <c r="C69" s="19" t="str">
        <f aca="false">IFERROR(VLOOKUP(B69,$L$79:$M$84,2)," ")</f>
        <v>Kertas A4</v>
      </c>
      <c r="D69" s="46" t="s">
        <v>47</v>
      </c>
      <c r="E69" s="44" t="s">
        <v>78</v>
      </c>
      <c r="F69" s="47"/>
      <c r="G69" s="48"/>
      <c r="H69" s="20"/>
      <c r="I69" s="49" t="n">
        <f aca="false">H69*F69</f>
        <v>0</v>
      </c>
      <c r="J69" s="21"/>
      <c r="L69" s="55" t="s">
        <v>210</v>
      </c>
      <c r="M69" s="64" t="s">
        <v>211</v>
      </c>
      <c r="N69" s="22"/>
      <c r="O69" s="56"/>
      <c r="P69" s="22"/>
    </row>
    <row r="70" customFormat="false" ht="15" hidden="false" customHeight="false" outlineLevel="0" collapsed="false">
      <c r="A70" s="39"/>
      <c r="B70" s="15" t="s">
        <v>232</v>
      </c>
      <c r="C70" s="19" t="str">
        <f aca="false">IFERROR(VLOOKUP(B70,$L$79:$M$84,2)," ")</f>
        <v>Tinta Printer</v>
      </c>
      <c r="D70" s="46" t="s">
        <v>47</v>
      </c>
      <c r="E70" s="44" t="s">
        <v>78</v>
      </c>
      <c r="F70" s="47"/>
      <c r="G70" s="48"/>
      <c r="H70" s="20"/>
      <c r="I70" s="49" t="n">
        <f aca="false">H70*F70</f>
        <v>0</v>
      </c>
      <c r="J70" s="54"/>
      <c r="L70" s="55" t="s">
        <v>212</v>
      </c>
      <c r="M70" s="64" t="s">
        <v>213</v>
      </c>
      <c r="N70" s="22"/>
      <c r="O70" s="56"/>
      <c r="P70" s="22"/>
    </row>
    <row r="71" customFormat="false" ht="15" hidden="false" customHeight="false" outlineLevel="0" collapsed="false">
      <c r="A71" s="39"/>
      <c r="B71" s="15" t="s">
        <v>234</v>
      </c>
      <c r="C71" s="19" t="str">
        <f aca="false">IFERROR(VLOOKUP(B71,$L$79:$M$84,2)," ")</f>
        <v>Ballpoint</v>
      </c>
      <c r="D71" s="46" t="s">
        <v>47</v>
      </c>
      <c r="E71" s="44" t="s">
        <v>78</v>
      </c>
      <c r="F71" s="47"/>
      <c r="G71" s="48"/>
      <c r="H71" s="20"/>
      <c r="I71" s="49" t="n">
        <f aca="false">H71*F71</f>
        <v>0</v>
      </c>
      <c r="J71" s="36"/>
      <c r="L71" s="55" t="s">
        <v>214</v>
      </c>
      <c r="M71" s="64" t="s">
        <v>215</v>
      </c>
      <c r="N71" s="22"/>
      <c r="O71" s="56"/>
      <c r="P71" s="22"/>
    </row>
    <row r="72" customFormat="false" ht="15" hidden="false" customHeight="false" outlineLevel="0" collapsed="false">
      <c r="A72" s="39"/>
      <c r="B72" s="57"/>
      <c r="C72" s="51" t="str">
        <f aca="false">IFERROR(VLOOKUP(B72,$L$79:$M$84,2)," ")</f>
        <v> </v>
      </c>
      <c r="D72" s="71"/>
      <c r="E72" s="72"/>
      <c r="F72" s="73"/>
      <c r="G72" s="74"/>
      <c r="H72" s="61"/>
      <c r="I72" s="49" t="n">
        <f aca="false">H72*F72</f>
        <v>0</v>
      </c>
      <c r="J72" s="21"/>
      <c r="L72" s="55" t="s">
        <v>216</v>
      </c>
      <c r="M72" s="22" t="s">
        <v>197</v>
      </c>
      <c r="N72" s="22"/>
      <c r="O72" s="56"/>
      <c r="P72" s="22"/>
    </row>
    <row r="73" customFormat="false" ht="12.65" hidden="false" customHeight="false" outlineLevel="0" collapsed="false">
      <c r="A73" s="39"/>
      <c r="B73" s="62" t="s">
        <v>99</v>
      </c>
      <c r="C73" s="62"/>
      <c r="D73" s="62"/>
      <c r="E73" s="62"/>
      <c r="F73" s="62"/>
      <c r="G73" s="62"/>
      <c r="H73" s="62"/>
      <c r="I73" s="63" t="n">
        <v>192000</v>
      </c>
      <c r="J73" s="21"/>
      <c r="L73" s="37" t="s">
        <v>191</v>
      </c>
      <c r="M73" s="75" t="s">
        <v>217</v>
      </c>
      <c r="N73" s="22"/>
      <c r="O73" s="56"/>
      <c r="P73" s="22"/>
    </row>
    <row r="74" customFormat="false" ht="12.65" hidden="false" customHeight="false" outlineLevel="0" collapsed="false">
      <c r="A74" s="39"/>
      <c r="B74" s="40" t="s">
        <v>218</v>
      </c>
      <c r="C74" s="69" t="str">
        <f aca="false">IFERROR(VLOOKUP(B74,$L$85:$M$94,2)," ")</f>
        <v>Kegiatan Kemuridan</v>
      </c>
      <c r="D74" s="42"/>
      <c r="E74" s="42"/>
      <c r="F74" s="42"/>
      <c r="G74" s="42"/>
      <c r="H74" s="42"/>
      <c r="I74" s="43"/>
      <c r="J74" s="21"/>
      <c r="L74" s="15" t="s">
        <v>219</v>
      </c>
      <c r="M74" s="15" t="s">
        <v>68</v>
      </c>
      <c r="N74" s="22"/>
      <c r="O74" s="56"/>
      <c r="P74" s="22"/>
    </row>
    <row r="75" customFormat="false" ht="12.65" hidden="false" customHeight="false" outlineLevel="0" collapsed="false">
      <c r="A75" s="39"/>
      <c r="B75" s="44" t="s">
        <v>239</v>
      </c>
      <c r="C75" s="70" t="str">
        <f aca="false">IFERROR(VLOOKUP(B75,$L$85:$M$94,2)," ")</f>
        <v>Pelaksanaan PHBI</v>
      </c>
      <c r="D75" s="46" t="s">
        <v>19</v>
      </c>
      <c r="E75" s="44" t="s">
        <v>68</v>
      </c>
      <c r="F75" s="47"/>
      <c r="G75" s="48"/>
      <c r="H75" s="49"/>
      <c r="I75" s="49" t="n">
        <f aca="false">H75*F75</f>
        <v>0</v>
      </c>
      <c r="J75" s="21"/>
      <c r="L75" s="15" t="s">
        <v>220</v>
      </c>
      <c r="M75" s="15" t="s">
        <v>221</v>
      </c>
      <c r="N75" s="22"/>
      <c r="O75" s="56"/>
      <c r="P75" s="22"/>
    </row>
    <row r="76" customFormat="false" ht="12.65" hidden="false" customHeight="false" outlineLevel="0" collapsed="false">
      <c r="A76" s="39"/>
      <c r="B76" s="15" t="s">
        <v>245</v>
      </c>
      <c r="C76" s="19" t="str">
        <f aca="false">IFERROR(VLOOKUP(B76,$L$85:$M$94,2)," ")</f>
        <v>Ujian al-Qur'an</v>
      </c>
      <c r="D76" s="46" t="s">
        <v>47</v>
      </c>
      <c r="E76" s="44" t="s">
        <v>68</v>
      </c>
      <c r="F76" s="47"/>
      <c r="G76" s="48"/>
      <c r="H76" s="20"/>
      <c r="I76" s="49" t="n">
        <f aca="false">H76*F76</f>
        <v>0</v>
      </c>
      <c r="J76" s="21"/>
      <c r="L76" s="15" t="s">
        <v>222</v>
      </c>
      <c r="M76" s="15" t="s">
        <v>223</v>
      </c>
      <c r="N76" s="22"/>
      <c r="O76" s="56"/>
      <c r="P76" s="22"/>
    </row>
    <row r="77" customFormat="false" ht="12.65" hidden="false" customHeight="false" outlineLevel="0" collapsed="false">
      <c r="A77" s="39"/>
      <c r="B77" s="15" t="s">
        <v>252</v>
      </c>
      <c r="C77" s="19" t="str">
        <f aca="false">IFERROR(VLOOKUP(B77,$L$85:$M$94,2)," ")</f>
        <v>Ujian al-Miftah</v>
      </c>
      <c r="D77" s="46" t="s">
        <v>47</v>
      </c>
      <c r="E77" s="44" t="s">
        <v>123</v>
      </c>
      <c r="F77" s="47"/>
      <c r="G77" s="48"/>
      <c r="H77" s="20"/>
      <c r="I77" s="49" t="n">
        <f aca="false">H77*F77</f>
        <v>0</v>
      </c>
      <c r="J77" s="21"/>
      <c r="L77" s="15" t="s">
        <v>224</v>
      </c>
      <c r="M77" s="15" t="s">
        <v>225</v>
      </c>
      <c r="N77" s="22"/>
      <c r="O77" s="56"/>
      <c r="P77" s="22"/>
    </row>
    <row r="78" customFormat="false" ht="15" hidden="false" customHeight="true" outlineLevel="0" collapsed="false">
      <c r="A78" s="39"/>
      <c r="B78" s="15" t="s">
        <v>241</v>
      </c>
      <c r="C78" s="19" t="str">
        <f aca="false">IFERROR(VLOOKUP(B78,$L$85:$M$94,2)," ")</f>
        <v>Persiapan dan Pelaksanaan MUAMMAR</v>
      </c>
      <c r="D78" s="46" t="s">
        <v>47</v>
      </c>
      <c r="E78" s="44" t="s">
        <v>68</v>
      </c>
      <c r="F78" s="47"/>
      <c r="G78" s="48"/>
      <c r="H78" s="20"/>
      <c r="I78" s="49" t="n">
        <f aca="false">H78*F78</f>
        <v>0</v>
      </c>
      <c r="J78" s="21"/>
      <c r="L78" s="15" t="s">
        <v>226</v>
      </c>
      <c r="M78" s="15" t="s">
        <v>123</v>
      </c>
      <c r="N78" s="22"/>
      <c r="O78" s="56"/>
      <c r="P78" s="22"/>
    </row>
    <row r="79" customFormat="false" ht="12" hidden="false" customHeight="false" outlineLevel="0" collapsed="false">
      <c r="A79" s="39"/>
      <c r="B79" s="15" t="s">
        <v>254</v>
      </c>
      <c r="C79" s="19" t="str">
        <f aca="false">IFERROR(VLOOKUP(B79,$L$85:$M$94,2)," ")</f>
        <v>Persiapan dan Pelaksanaan AKSARA</v>
      </c>
      <c r="D79" s="46" t="s">
        <v>47</v>
      </c>
      <c r="E79" s="44" t="s">
        <v>68</v>
      </c>
      <c r="F79" s="47"/>
      <c r="G79" s="48"/>
      <c r="H79" s="20"/>
      <c r="I79" s="49" t="n">
        <f aca="false">H79*F79</f>
        <v>0</v>
      </c>
      <c r="J79" s="21"/>
      <c r="L79" s="37" t="s">
        <v>205</v>
      </c>
      <c r="M79" s="37" t="s">
        <v>227</v>
      </c>
      <c r="N79" s="22"/>
      <c r="O79" s="56"/>
      <c r="P79" s="22"/>
    </row>
    <row r="80" customFormat="false" ht="12" hidden="false" customHeight="false" outlineLevel="0" collapsed="false">
      <c r="A80" s="39"/>
      <c r="B80" s="15" t="s">
        <v>249</v>
      </c>
      <c r="C80" s="19" t="str">
        <f aca="false">IFERROR(VLOOKUP(B80,$L$85:$M$94,2)," ")</f>
        <v>Pengembangan Bakat dan Minat</v>
      </c>
      <c r="D80" s="46" t="s">
        <v>19</v>
      </c>
      <c r="E80" s="44" t="s">
        <v>68</v>
      </c>
      <c r="F80" s="47"/>
      <c r="G80" s="48"/>
      <c r="H80" s="20"/>
      <c r="I80" s="49" t="n">
        <f aca="false">H80*F80</f>
        <v>0</v>
      </c>
      <c r="J80" s="21"/>
      <c r="L80" s="25" t="s">
        <v>228</v>
      </c>
      <c r="M80" s="15" t="s">
        <v>229</v>
      </c>
      <c r="N80" s="22"/>
      <c r="O80" s="56"/>
      <c r="P80" s="22"/>
    </row>
    <row r="81" customFormat="false" ht="15" hidden="false" customHeight="true" outlineLevel="0" collapsed="false">
      <c r="A81" s="39"/>
      <c r="B81" s="15" t="s">
        <v>243</v>
      </c>
      <c r="C81" s="19" t="str">
        <f aca="false">IFERROR(VLOOKUP(B81,$L$85:$M$94,2)," ")</f>
        <v>Lomba Akhir Tahun</v>
      </c>
      <c r="D81" s="46" t="s">
        <v>19</v>
      </c>
      <c r="E81" s="44" t="s">
        <v>68</v>
      </c>
      <c r="F81" s="47"/>
      <c r="G81" s="48"/>
      <c r="H81" s="20"/>
      <c r="I81" s="49" t="n">
        <f aca="false">H81*F81</f>
        <v>0</v>
      </c>
      <c r="J81" s="54"/>
      <c r="L81" s="25" t="s">
        <v>230</v>
      </c>
      <c r="M81" s="15" t="s">
        <v>231</v>
      </c>
      <c r="N81" s="22"/>
      <c r="O81" s="56"/>
      <c r="P81" s="22"/>
    </row>
    <row r="82" customFormat="false" ht="14.25" hidden="false" customHeight="true" outlineLevel="0" collapsed="false">
      <c r="A82" s="39"/>
      <c r="B82" s="15" t="s">
        <v>247</v>
      </c>
      <c r="C82" s="19" t="str">
        <f aca="false">IFERROR(VLOOKUP(B82,$L$85:$M$94,2)," ")</f>
        <v>Ikhtibar</v>
      </c>
      <c r="D82" s="46" t="s">
        <v>19</v>
      </c>
      <c r="E82" s="44" t="s">
        <v>68</v>
      </c>
      <c r="F82" s="47"/>
      <c r="G82" s="48"/>
      <c r="H82" s="20"/>
      <c r="I82" s="49" t="n">
        <f aca="false">H82*F82</f>
        <v>0</v>
      </c>
      <c r="J82" s="36"/>
      <c r="L82" s="25" t="s">
        <v>232</v>
      </c>
      <c r="M82" s="15" t="s">
        <v>233</v>
      </c>
      <c r="N82" s="22"/>
      <c r="O82" s="56"/>
      <c r="P82" s="22"/>
    </row>
    <row r="83" customFormat="false" ht="12.65" hidden="false" customHeight="false" outlineLevel="0" collapsed="false">
      <c r="A83" s="39"/>
      <c r="B83" s="57"/>
      <c r="C83" s="51" t="str">
        <f aca="false">IFERROR(VLOOKUP(B83,$L$85:$M$94,2)," ")</f>
        <v> </v>
      </c>
      <c r="D83" s="71"/>
      <c r="E83" s="72"/>
      <c r="F83" s="73"/>
      <c r="G83" s="74"/>
      <c r="H83" s="61"/>
      <c r="I83" s="49" t="n">
        <f aca="false">H83*F83</f>
        <v>0</v>
      </c>
      <c r="J83" s="21"/>
      <c r="L83" s="25" t="s">
        <v>234</v>
      </c>
      <c r="M83" s="15" t="s">
        <v>235</v>
      </c>
      <c r="N83" s="22"/>
      <c r="O83" s="56"/>
      <c r="P83" s="22"/>
    </row>
    <row r="84" customFormat="false" ht="12.65" hidden="false" customHeight="false" outlineLevel="0" collapsed="false">
      <c r="A84" s="39"/>
      <c r="B84" s="62" t="s">
        <v>99</v>
      </c>
      <c r="C84" s="62"/>
      <c r="D84" s="62"/>
      <c r="E84" s="62"/>
      <c r="F84" s="62"/>
      <c r="G84" s="62"/>
      <c r="H84" s="62"/>
      <c r="I84" s="63" t="n">
        <v>26200000</v>
      </c>
      <c r="J84" s="21"/>
      <c r="L84" s="25" t="s">
        <v>236</v>
      </c>
      <c r="M84" s="15" t="s">
        <v>197</v>
      </c>
      <c r="N84" s="22"/>
      <c r="O84" s="56"/>
      <c r="P84" s="22"/>
    </row>
    <row r="85" customFormat="false" ht="12.65" hidden="false" customHeight="false" outlineLevel="0" collapsed="false">
      <c r="A85" s="39"/>
      <c r="B85" s="40" t="s">
        <v>237</v>
      </c>
      <c r="C85" s="41" t="str">
        <f aca="false">IFERROR(VLOOKUP(B85,$L$95:$M$100,2)," ")</f>
        <v>Alat Penunjang KBM</v>
      </c>
      <c r="D85" s="42"/>
      <c r="E85" s="42"/>
      <c r="F85" s="42"/>
      <c r="G85" s="42"/>
      <c r="H85" s="42"/>
      <c r="I85" s="43"/>
      <c r="J85" s="21"/>
      <c r="L85" s="37" t="s">
        <v>218</v>
      </c>
      <c r="M85" s="75" t="s">
        <v>238</v>
      </c>
      <c r="N85" s="22"/>
      <c r="O85" s="56"/>
      <c r="P85" s="22"/>
    </row>
    <row r="86" customFormat="false" ht="12.65" hidden="false" customHeight="false" outlineLevel="0" collapsed="false">
      <c r="A86" s="39"/>
      <c r="B86" s="44" t="s">
        <v>258</v>
      </c>
      <c r="C86" s="45" t="str">
        <f aca="false">IFERROR(VLOOKUP(B86,$L$95:$M$100,2)," ")</f>
        <v>Kapur Tulis</v>
      </c>
      <c r="D86" s="46" t="s">
        <v>19</v>
      </c>
      <c r="E86" s="44" t="s">
        <v>17</v>
      </c>
      <c r="F86" s="47"/>
      <c r="G86" s="48"/>
      <c r="H86" s="49"/>
      <c r="I86" s="49" t="n">
        <f aca="false">H86*F86</f>
        <v>0</v>
      </c>
      <c r="J86" s="21"/>
      <c r="L86" s="15" t="s">
        <v>239</v>
      </c>
      <c r="M86" s="15" t="s">
        <v>240</v>
      </c>
      <c r="N86" s="22"/>
      <c r="O86" s="56"/>
      <c r="P86" s="22"/>
    </row>
    <row r="87" customFormat="false" ht="12.65" hidden="false" customHeight="false" outlineLevel="0" collapsed="false">
      <c r="A87" s="39"/>
      <c r="B87" s="15" t="s">
        <v>260</v>
      </c>
      <c r="C87" s="19" t="str">
        <f aca="false">IFERROR(VLOOKUP(B87,$L$95:$M$100,2)," ")</f>
        <v>Penghapus</v>
      </c>
      <c r="D87" s="46" t="s">
        <v>19</v>
      </c>
      <c r="E87" s="44" t="s">
        <v>17</v>
      </c>
      <c r="F87" s="47"/>
      <c r="G87" s="48"/>
      <c r="H87" s="20"/>
      <c r="I87" s="49" t="n">
        <f aca="false">H87*F87</f>
        <v>0</v>
      </c>
      <c r="J87" s="21"/>
      <c r="L87" s="15" t="s">
        <v>241</v>
      </c>
      <c r="M87" s="15" t="s">
        <v>242</v>
      </c>
      <c r="N87" s="22"/>
      <c r="O87" s="56"/>
      <c r="P87" s="22"/>
    </row>
    <row r="88" customFormat="false" ht="15.75" hidden="false" customHeight="true" outlineLevel="0" collapsed="false">
      <c r="A88" s="39"/>
      <c r="B88" s="15" t="s">
        <v>262</v>
      </c>
      <c r="C88" s="19" t="str">
        <f aca="false">IFERROR(VLOOKUP(B88,$L$95:$M$100,2)," ")</f>
        <v>Board Marker</v>
      </c>
      <c r="D88" s="46" t="s">
        <v>19</v>
      </c>
      <c r="E88" s="44" t="s">
        <v>17</v>
      </c>
      <c r="F88" s="47"/>
      <c r="G88" s="48"/>
      <c r="H88" s="20"/>
      <c r="I88" s="49" t="n">
        <f aca="false">H88*F88</f>
        <v>0</v>
      </c>
      <c r="J88" s="54"/>
      <c r="L88" s="15" t="s">
        <v>243</v>
      </c>
      <c r="M88" s="15" t="s">
        <v>244</v>
      </c>
      <c r="N88" s="22"/>
      <c r="O88" s="56"/>
      <c r="P88" s="22"/>
    </row>
    <row r="89" customFormat="false" ht="15" hidden="false" customHeight="true" outlineLevel="0" collapsed="false">
      <c r="A89" s="39"/>
      <c r="B89" s="15"/>
      <c r="C89" s="19" t="str">
        <f aca="false">IFERROR(VLOOKUP(B89,$L$95:$M$100,2)," ")</f>
        <v> </v>
      </c>
      <c r="D89" s="46"/>
      <c r="E89" s="44"/>
      <c r="F89" s="47"/>
      <c r="G89" s="48"/>
      <c r="H89" s="20"/>
      <c r="I89" s="49" t="n">
        <f aca="false">H89*F89</f>
        <v>0</v>
      </c>
      <c r="J89" s="54"/>
      <c r="L89" s="15" t="s">
        <v>245</v>
      </c>
      <c r="M89" s="15" t="s">
        <v>246</v>
      </c>
      <c r="N89" s="22"/>
      <c r="O89" s="56"/>
      <c r="P89" s="22"/>
    </row>
    <row r="90" customFormat="false" ht="12.65" hidden="false" customHeight="false" outlineLevel="0" collapsed="false">
      <c r="A90" s="39"/>
      <c r="B90" s="57"/>
      <c r="C90" s="76" t="str">
        <f aca="false">IFERROR(VLOOKUP(B90,$L$95:$M$100,2)," ")</f>
        <v> </v>
      </c>
      <c r="D90" s="71"/>
      <c r="E90" s="72"/>
      <c r="F90" s="73"/>
      <c r="G90" s="74"/>
      <c r="H90" s="61"/>
      <c r="I90" s="49" t="n">
        <f aca="false">H90*F90</f>
        <v>0</v>
      </c>
      <c r="J90" s="21"/>
      <c r="L90" s="15" t="s">
        <v>247</v>
      </c>
      <c r="M90" s="15" t="s">
        <v>248</v>
      </c>
      <c r="N90" s="22"/>
      <c r="O90" s="56"/>
      <c r="P90" s="22"/>
    </row>
    <row r="91" customFormat="false" ht="12.65" hidden="false" customHeight="false" outlineLevel="0" collapsed="false">
      <c r="A91" s="39"/>
      <c r="B91" s="62" t="s">
        <v>99</v>
      </c>
      <c r="C91" s="62"/>
      <c r="D91" s="62"/>
      <c r="E91" s="62"/>
      <c r="F91" s="62"/>
      <c r="G91" s="62"/>
      <c r="H91" s="62"/>
      <c r="I91" s="63" t="n">
        <v>668000</v>
      </c>
      <c r="J91" s="21"/>
      <c r="L91" s="15" t="s">
        <v>249</v>
      </c>
      <c r="M91" s="15" t="s">
        <v>250</v>
      </c>
      <c r="N91" s="22"/>
      <c r="O91" s="56"/>
      <c r="P91" s="22"/>
    </row>
    <row r="92" customFormat="false" ht="12.65" hidden="false" customHeight="false" outlineLevel="0" collapsed="false">
      <c r="A92" s="39"/>
      <c r="B92" s="40" t="s">
        <v>251</v>
      </c>
      <c r="C92" s="69" t="str">
        <f aca="false">IFERROR(VLOOKUP(B92,$L$101:$M$107,2)," ")</f>
        <v>Transportasi dan Perjalanan Dinas</v>
      </c>
      <c r="D92" s="77"/>
      <c r="E92" s="77"/>
      <c r="F92" s="77"/>
      <c r="G92" s="77"/>
      <c r="H92" s="78"/>
      <c r="I92" s="79"/>
      <c r="J92" s="21"/>
      <c r="L92" s="15" t="s">
        <v>252</v>
      </c>
      <c r="M92" s="15" t="s">
        <v>253</v>
      </c>
      <c r="N92" s="22"/>
      <c r="O92" s="56"/>
      <c r="P92" s="22"/>
    </row>
    <row r="93" customFormat="false" ht="12.65" hidden="false" customHeight="false" outlineLevel="0" collapsed="false">
      <c r="A93" s="39"/>
      <c r="B93" s="44" t="s">
        <v>269</v>
      </c>
      <c r="C93" s="70" t="str">
        <f aca="false">IFERROR(VLOOKUP(B93,$L$101:$M$107,2)," ")</f>
        <v>Rapat Koordinasi Guru</v>
      </c>
      <c r="D93" s="46" t="s">
        <v>19</v>
      </c>
      <c r="E93" s="44" t="s">
        <v>68</v>
      </c>
      <c r="F93" s="47"/>
      <c r="G93" s="48"/>
      <c r="H93" s="49"/>
      <c r="I93" s="49" t="n">
        <f aca="false">H93*F93</f>
        <v>0</v>
      </c>
      <c r="J93" s="21"/>
      <c r="L93" s="15" t="s">
        <v>254</v>
      </c>
      <c r="M93" s="15" t="s">
        <v>255</v>
      </c>
      <c r="N93" s="22"/>
      <c r="O93" s="56"/>
      <c r="P93" s="22"/>
    </row>
    <row r="94" customFormat="false" ht="12.65" hidden="false" customHeight="false" outlineLevel="0" collapsed="false">
      <c r="A94" s="39"/>
      <c r="B94" s="15" t="s">
        <v>270</v>
      </c>
      <c r="C94" s="19" t="str">
        <f aca="false">IFERROR(VLOOKUP(B94,$L$101:$M$107,2)," ")</f>
        <v>Rapim IMDA</v>
      </c>
      <c r="D94" s="46" t="s">
        <v>29</v>
      </c>
      <c r="E94" s="44" t="s">
        <v>68</v>
      </c>
      <c r="F94" s="47"/>
      <c r="G94" s="48"/>
      <c r="H94" s="20"/>
      <c r="I94" s="49" t="n">
        <f aca="false">H94*F94</f>
        <v>0</v>
      </c>
      <c r="J94" s="21"/>
      <c r="L94" s="15" t="s">
        <v>256</v>
      </c>
      <c r="M94" s="15" t="s">
        <v>197</v>
      </c>
      <c r="N94" s="22"/>
      <c r="O94" s="56"/>
      <c r="P94" s="22"/>
    </row>
    <row r="95" customFormat="false" ht="12.65" hidden="false" customHeight="false" outlineLevel="0" collapsed="false">
      <c r="A95" s="39"/>
      <c r="B95" s="15" t="s">
        <v>272</v>
      </c>
      <c r="C95" s="19" t="str">
        <f aca="false">IFERROR(VLOOKUP(B95,$L$101:$M$107,2)," ")</f>
        <v>Rapim IMNI</v>
      </c>
      <c r="D95" s="46" t="s">
        <v>19</v>
      </c>
      <c r="E95" s="44" t="s">
        <v>68</v>
      </c>
      <c r="F95" s="47"/>
      <c r="G95" s="48"/>
      <c r="H95" s="20"/>
      <c r="I95" s="49" t="n">
        <f aca="false">H95*F95</f>
        <v>0</v>
      </c>
      <c r="J95" s="21"/>
      <c r="L95" s="37" t="s">
        <v>237</v>
      </c>
      <c r="M95" s="75" t="s">
        <v>257</v>
      </c>
      <c r="N95" s="22"/>
      <c r="O95" s="56"/>
      <c r="P95" s="22"/>
    </row>
    <row r="96" customFormat="false" ht="15" hidden="false" customHeight="true" outlineLevel="0" collapsed="false">
      <c r="A96" s="39"/>
      <c r="B96" s="15" t="s">
        <v>274</v>
      </c>
      <c r="C96" s="19" t="str">
        <f aca="false">IFERROR(VLOOKUP(B96,$L$101:$M$107,2)," ")</f>
        <v>Pelaksanaan MUAMMAR</v>
      </c>
      <c r="D96" s="46" t="s">
        <v>19</v>
      </c>
      <c r="E96" s="44" t="s">
        <v>78</v>
      </c>
      <c r="F96" s="47"/>
      <c r="G96" s="48"/>
      <c r="H96" s="20"/>
      <c r="I96" s="49" t="n">
        <f aca="false">H96*F96</f>
        <v>0</v>
      </c>
      <c r="J96" s="54"/>
      <c r="L96" s="15" t="s">
        <v>258</v>
      </c>
      <c r="M96" s="15" t="s">
        <v>259</v>
      </c>
      <c r="N96" s="22"/>
      <c r="O96" s="56"/>
      <c r="P96" s="22"/>
    </row>
    <row r="97" customFormat="false" ht="15" hidden="false" customHeight="true" outlineLevel="0" collapsed="false">
      <c r="A97" s="39"/>
      <c r="B97" s="15" t="s">
        <v>276</v>
      </c>
      <c r="C97" s="19" t="str">
        <f aca="false">IFERROR(VLOOKUP(B97,$L$101:$M$107,2)," ")</f>
        <v>Pelaksanaan AKSARA</v>
      </c>
      <c r="D97" s="46" t="s">
        <v>19</v>
      </c>
      <c r="E97" s="44" t="s">
        <v>78</v>
      </c>
      <c r="F97" s="47"/>
      <c r="G97" s="48"/>
      <c r="H97" s="20"/>
      <c r="I97" s="49" t="n">
        <f aca="false">H97*F97</f>
        <v>0</v>
      </c>
      <c r="J97" s="54"/>
      <c r="L97" s="15" t="s">
        <v>260</v>
      </c>
      <c r="M97" s="15" t="s">
        <v>261</v>
      </c>
      <c r="N97" s="22"/>
      <c r="O97" s="56"/>
      <c r="P97" s="22"/>
    </row>
    <row r="98" customFormat="false" ht="12.65" hidden="false" customHeight="false" outlineLevel="0" collapsed="false">
      <c r="A98" s="39"/>
      <c r="B98" s="15"/>
      <c r="C98" s="30" t="str">
        <f aca="false">IFERROR(VLOOKUP(B98,$L$101:$M$107,2)," ")</f>
        <v> </v>
      </c>
      <c r="D98" s="46"/>
      <c r="E98" s="44"/>
      <c r="F98" s="47"/>
      <c r="G98" s="48"/>
      <c r="H98" s="20"/>
      <c r="I98" s="49" t="n">
        <f aca="false">H98*F98</f>
        <v>0</v>
      </c>
      <c r="J98" s="21"/>
      <c r="L98" s="15" t="s">
        <v>262</v>
      </c>
      <c r="M98" s="15" t="s">
        <v>263</v>
      </c>
      <c r="N98" s="22"/>
      <c r="O98" s="56"/>
      <c r="P98" s="22"/>
    </row>
    <row r="99" customFormat="false" ht="12.65" hidden="false" customHeight="false" outlineLevel="0" collapsed="false">
      <c r="A99" s="39"/>
      <c r="B99" s="65" t="s">
        <v>99</v>
      </c>
      <c r="C99" s="65"/>
      <c r="D99" s="65"/>
      <c r="E99" s="65"/>
      <c r="F99" s="65"/>
      <c r="G99" s="65"/>
      <c r="H99" s="65"/>
      <c r="I99" s="63" t="n">
        <v>30000</v>
      </c>
      <c r="J99" s="21"/>
      <c r="L99" s="15" t="s">
        <v>264</v>
      </c>
      <c r="M99" s="15" t="s">
        <v>265</v>
      </c>
      <c r="N99" s="22"/>
      <c r="O99" s="56"/>
      <c r="P99" s="22"/>
    </row>
    <row r="100" customFormat="false" ht="12.65" hidden="false" customHeight="false" outlineLevel="0" collapsed="false">
      <c r="A100" s="39"/>
      <c r="B100" s="40" t="s">
        <v>266</v>
      </c>
      <c r="C100" s="41" t="str">
        <f aca="false">IFERROR(VLOOKUP(B100,$L$108:$M$120,2)," ")</f>
        <v>Pengadaan Soal-soal ujian</v>
      </c>
      <c r="D100" s="77"/>
      <c r="E100" s="77"/>
      <c r="F100" s="77"/>
      <c r="G100" s="77"/>
      <c r="H100" s="78"/>
      <c r="I100" s="79"/>
      <c r="J100" s="21"/>
      <c r="L100" s="15" t="s">
        <v>267</v>
      </c>
      <c r="M100" s="15" t="s">
        <v>197</v>
      </c>
      <c r="N100" s="22"/>
      <c r="O100" s="56"/>
      <c r="P100" s="22"/>
    </row>
    <row r="101" customFormat="false" ht="12.65" hidden="false" customHeight="false" outlineLevel="0" collapsed="false">
      <c r="A101" s="39"/>
      <c r="B101" s="44" t="s">
        <v>299</v>
      </c>
      <c r="C101" s="80" t="str">
        <f aca="false">IFERROR(VLOOKUP(B101,$L$108:$M$120,2)," ")</f>
        <v>FC Soal Harian</v>
      </c>
      <c r="D101" s="46" t="s">
        <v>24</v>
      </c>
      <c r="E101" s="44" t="s">
        <v>127</v>
      </c>
      <c r="F101" s="47"/>
      <c r="G101" s="48"/>
      <c r="H101" s="49"/>
      <c r="I101" s="49" t="n">
        <f aca="false">H101*F101</f>
        <v>0</v>
      </c>
      <c r="J101" s="21"/>
      <c r="L101" s="37" t="s">
        <v>251</v>
      </c>
      <c r="M101" s="81" t="s">
        <v>268</v>
      </c>
      <c r="N101" s="22"/>
      <c r="O101" s="56"/>
      <c r="P101" s="22"/>
    </row>
    <row r="102" customFormat="false" ht="12.65" hidden="false" customHeight="false" outlineLevel="0" collapsed="false">
      <c r="A102" s="39"/>
      <c r="B102" s="15" t="s">
        <v>282</v>
      </c>
      <c r="C102" s="19" t="str">
        <f aca="false">IFERROR(VLOOKUP(B102,$L$108:$M$120,2)," ")</f>
        <v>FC Soal Tamrin Massal</v>
      </c>
      <c r="D102" s="46" t="s">
        <v>29</v>
      </c>
      <c r="E102" s="44" t="s">
        <v>78</v>
      </c>
      <c r="F102" s="47"/>
      <c r="G102" s="48"/>
      <c r="H102" s="20"/>
      <c r="I102" s="49" t="n">
        <f aca="false">H102*F102</f>
        <v>0</v>
      </c>
      <c r="J102" s="21"/>
      <c r="L102" s="15" t="s">
        <v>269</v>
      </c>
      <c r="M102" s="15" t="s">
        <v>80</v>
      </c>
      <c r="N102" s="22"/>
      <c r="O102" s="56"/>
      <c r="P102" s="22"/>
    </row>
    <row r="103" customFormat="false" ht="12.65" hidden="false" customHeight="false" outlineLevel="0" collapsed="false">
      <c r="A103" s="39"/>
      <c r="B103" s="15" t="s">
        <v>286</v>
      </c>
      <c r="C103" s="19" t="str">
        <f aca="false">IFERROR(VLOOKUP(B103,$L$108:$M$120,2)," ")</f>
        <v>Biaya Soal IMDA</v>
      </c>
      <c r="D103" s="46" t="s">
        <v>29</v>
      </c>
      <c r="E103" s="44" t="s">
        <v>68</v>
      </c>
      <c r="F103" s="47"/>
      <c r="G103" s="48"/>
      <c r="H103" s="20"/>
      <c r="I103" s="49" t="n">
        <f aca="false">H103*F103</f>
        <v>0</v>
      </c>
      <c r="J103" s="21"/>
      <c r="L103" s="15" t="s">
        <v>270</v>
      </c>
      <c r="M103" s="15" t="s">
        <v>271</v>
      </c>
      <c r="N103" s="22"/>
      <c r="O103" s="56"/>
      <c r="P103" s="22"/>
    </row>
    <row r="104" customFormat="false" ht="12.65" hidden="false" customHeight="false" outlineLevel="0" collapsed="false">
      <c r="A104" s="39"/>
      <c r="B104" s="15" t="s">
        <v>288</v>
      </c>
      <c r="C104" s="19" t="str">
        <f aca="false">IFERROR(VLOOKUP(B104,$L$108:$M$120,2)," ")</f>
        <v>FC Soal Pra IMNI</v>
      </c>
      <c r="D104" s="46" t="s">
        <v>19</v>
      </c>
      <c r="E104" s="44" t="s">
        <v>78</v>
      </c>
      <c r="F104" s="47"/>
      <c r="G104" s="48"/>
      <c r="H104" s="20"/>
      <c r="I104" s="49" t="n">
        <f aca="false">H104*F104</f>
        <v>0</v>
      </c>
      <c r="J104" s="21"/>
      <c r="L104" s="15" t="s">
        <v>272</v>
      </c>
      <c r="M104" s="15" t="s">
        <v>273</v>
      </c>
      <c r="N104" s="22"/>
      <c r="O104" s="56"/>
      <c r="P104" s="22"/>
    </row>
    <row r="105" customFormat="false" ht="12.65" hidden="false" customHeight="false" outlineLevel="0" collapsed="false">
      <c r="A105" s="39"/>
      <c r="B105" s="15" t="s">
        <v>293</v>
      </c>
      <c r="C105" s="19" t="str">
        <f aca="false">IFERROR(VLOOKUP(B105,$L$108:$M$120,2)," ")</f>
        <v>Biaya Soal IMNI</v>
      </c>
      <c r="D105" s="46" t="s">
        <v>29</v>
      </c>
      <c r="E105" s="44" t="s">
        <v>78</v>
      </c>
      <c r="F105" s="47"/>
      <c r="G105" s="48"/>
      <c r="H105" s="20"/>
      <c r="I105" s="49" t="n">
        <f aca="false">H105*F105</f>
        <v>0</v>
      </c>
      <c r="J105" s="21"/>
      <c r="L105" s="15" t="s">
        <v>274</v>
      </c>
      <c r="M105" s="15" t="s">
        <v>275</v>
      </c>
      <c r="N105" s="22"/>
      <c r="O105" s="56"/>
      <c r="P105" s="22"/>
    </row>
    <row r="106" customFormat="false" ht="12.65" hidden="false" customHeight="false" outlineLevel="0" collapsed="false">
      <c r="A106" s="39"/>
      <c r="B106" s="15"/>
      <c r="C106" s="19" t="str">
        <f aca="false">IFERROR(VLOOKUP(B106,$L$108:$M$120,2)," ")</f>
        <v> </v>
      </c>
      <c r="D106" s="46"/>
      <c r="E106" s="44"/>
      <c r="F106" s="47"/>
      <c r="G106" s="48"/>
      <c r="H106" s="20"/>
      <c r="I106" s="49" t="n">
        <f aca="false">H106*F106</f>
        <v>0</v>
      </c>
      <c r="J106" s="21"/>
      <c r="L106" s="15" t="s">
        <v>276</v>
      </c>
      <c r="M106" s="15" t="s">
        <v>277</v>
      </c>
      <c r="N106" s="22"/>
      <c r="O106" s="56"/>
      <c r="P106" s="22"/>
    </row>
    <row r="107" customFormat="false" ht="12.65" hidden="false" customHeight="false" outlineLevel="0" collapsed="false">
      <c r="A107" s="39"/>
      <c r="B107" s="15"/>
      <c r="C107" s="19" t="str">
        <f aca="false">IFERROR(VLOOKUP(B107,$L$108:$M$120,2)," ")</f>
        <v> </v>
      </c>
      <c r="D107" s="46"/>
      <c r="E107" s="44"/>
      <c r="F107" s="47"/>
      <c r="G107" s="48"/>
      <c r="H107" s="20"/>
      <c r="I107" s="49" t="n">
        <f aca="false">H107*F107</f>
        <v>0</v>
      </c>
      <c r="J107" s="21"/>
      <c r="L107" s="15" t="s">
        <v>278</v>
      </c>
      <c r="M107" s="15" t="s">
        <v>197</v>
      </c>
      <c r="N107" s="22"/>
      <c r="O107" s="56"/>
      <c r="P107" s="22"/>
    </row>
    <row r="108" customFormat="false" ht="12.65" hidden="false" customHeight="false" outlineLevel="0" collapsed="false">
      <c r="A108" s="39"/>
      <c r="B108" s="15"/>
      <c r="C108" s="19" t="str">
        <f aca="false">IFERROR(VLOOKUP(B108,$L$108:$M$120,2)," ")</f>
        <v> </v>
      </c>
      <c r="D108" s="46"/>
      <c r="E108" s="44"/>
      <c r="F108" s="47"/>
      <c r="G108" s="48"/>
      <c r="H108" s="20"/>
      <c r="I108" s="49" t="n">
        <f aca="false">H108*F108</f>
        <v>0</v>
      </c>
      <c r="J108" s="21"/>
      <c r="L108" s="37" t="s">
        <v>266</v>
      </c>
      <c r="M108" s="81" t="s">
        <v>279</v>
      </c>
      <c r="N108" s="22"/>
      <c r="O108" s="56"/>
      <c r="P108" s="22"/>
    </row>
    <row r="109" customFormat="false" ht="12.65" hidden="false" customHeight="false" outlineLevel="0" collapsed="false">
      <c r="A109" s="39"/>
      <c r="B109" s="15"/>
      <c r="C109" s="19" t="str">
        <f aca="false">IFERROR(VLOOKUP(B109,$L$108:$M$120,2)," ")</f>
        <v> </v>
      </c>
      <c r="D109" s="46"/>
      <c r="E109" s="44"/>
      <c r="F109" s="47"/>
      <c r="G109" s="48"/>
      <c r="H109" s="20"/>
      <c r="I109" s="49" t="n">
        <f aca="false">H109*F109</f>
        <v>0</v>
      </c>
      <c r="J109" s="21"/>
      <c r="L109" s="15" t="s">
        <v>280</v>
      </c>
      <c r="M109" s="15" t="s">
        <v>281</v>
      </c>
      <c r="N109" s="22"/>
      <c r="O109" s="56"/>
      <c r="P109" s="22"/>
    </row>
    <row r="110" customFormat="false" ht="15.75" hidden="false" customHeight="true" outlineLevel="0" collapsed="false">
      <c r="A110" s="39"/>
      <c r="B110" s="15"/>
      <c r="C110" s="19" t="str">
        <f aca="false">IFERROR(VLOOKUP(B110,$L$108:$M$120,2)," ")</f>
        <v> </v>
      </c>
      <c r="D110" s="46"/>
      <c r="E110" s="44"/>
      <c r="F110" s="47"/>
      <c r="G110" s="48"/>
      <c r="H110" s="20"/>
      <c r="I110" s="49" t="n">
        <f aca="false">H110*F110</f>
        <v>0</v>
      </c>
      <c r="J110" s="54"/>
      <c r="L110" s="15" t="s">
        <v>282</v>
      </c>
      <c r="M110" s="15" t="s">
        <v>283</v>
      </c>
      <c r="N110" s="22"/>
      <c r="O110" s="56"/>
      <c r="P110" s="22"/>
    </row>
    <row r="111" customFormat="false" ht="15" hidden="false" customHeight="true" outlineLevel="0" collapsed="false">
      <c r="A111" s="39"/>
      <c r="B111" s="15"/>
      <c r="C111" s="19" t="str">
        <f aca="false">IFERROR(VLOOKUP(B111,$L$108:$M$120,2)," ")</f>
        <v> </v>
      </c>
      <c r="D111" s="46"/>
      <c r="E111" s="44"/>
      <c r="F111" s="47"/>
      <c r="G111" s="48"/>
      <c r="H111" s="20"/>
      <c r="I111" s="49" t="n">
        <f aca="false">H111*F111</f>
        <v>0</v>
      </c>
      <c r="J111" s="54"/>
      <c r="L111" s="15" t="s">
        <v>284</v>
      </c>
      <c r="M111" s="15" t="s">
        <v>285</v>
      </c>
      <c r="N111" s="22"/>
      <c r="O111" s="56"/>
      <c r="P111" s="22"/>
    </row>
    <row r="112" customFormat="false" ht="15" hidden="false" customHeight="true" outlineLevel="0" collapsed="false">
      <c r="A112" s="39"/>
      <c r="B112" s="57"/>
      <c r="C112" s="51" t="str">
        <f aca="false">IFERROR(VLOOKUP(B112,$L$108:$M$120,2)," ")</f>
        <v> </v>
      </c>
      <c r="D112" s="71"/>
      <c r="E112" s="72"/>
      <c r="F112" s="73"/>
      <c r="G112" s="74"/>
      <c r="H112" s="61"/>
      <c r="I112" s="49" t="n">
        <f aca="false">H112*F112</f>
        <v>0</v>
      </c>
      <c r="J112" s="21"/>
      <c r="L112" s="15" t="s">
        <v>286</v>
      </c>
      <c r="M112" s="15" t="s">
        <v>287</v>
      </c>
      <c r="N112" s="22"/>
      <c r="O112" s="56"/>
      <c r="P112" s="22"/>
    </row>
    <row r="113" customFormat="false" ht="15" hidden="false" customHeight="true" outlineLevel="0" collapsed="false">
      <c r="A113" s="39"/>
      <c r="B113" s="62" t="s">
        <v>99</v>
      </c>
      <c r="C113" s="62"/>
      <c r="D113" s="62"/>
      <c r="E113" s="62"/>
      <c r="F113" s="62"/>
      <c r="G113" s="62"/>
      <c r="H113" s="62"/>
      <c r="I113" s="63" t="n">
        <v>13475000</v>
      </c>
      <c r="J113" s="21"/>
      <c r="L113" s="15" t="s">
        <v>288</v>
      </c>
      <c r="M113" s="15" t="s">
        <v>289</v>
      </c>
      <c r="N113" s="22"/>
      <c r="O113" s="56"/>
      <c r="P113" s="22"/>
    </row>
    <row r="114" customFormat="false" ht="15" hidden="false" customHeight="true" outlineLevel="0" collapsed="false">
      <c r="A114" s="39"/>
      <c r="B114" s="40" t="s">
        <v>290</v>
      </c>
      <c r="C114" s="41" t="str">
        <f aca="false">IFERROR(VLOOKUP(B114,$L$121:$M$125,2)," ")</f>
        <v>Biaya Daya dan Jasa</v>
      </c>
      <c r="D114" s="77"/>
      <c r="E114" s="77"/>
      <c r="F114" s="77"/>
      <c r="G114" s="77"/>
      <c r="H114" s="78"/>
      <c r="I114" s="79"/>
      <c r="J114" s="21"/>
      <c r="L114" s="15" t="s">
        <v>291</v>
      </c>
      <c r="M114" s="15" t="s">
        <v>292</v>
      </c>
      <c r="N114" s="22"/>
      <c r="O114" s="56"/>
      <c r="P114" s="22"/>
    </row>
    <row r="115" customFormat="false" ht="15" hidden="false" customHeight="true" outlineLevel="0" collapsed="false">
      <c r="A115" s="39"/>
      <c r="B115" s="44" t="s">
        <v>308</v>
      </c>
      <c r="C115" s="45" t="str">
        <f aca="false">IFERROR(VLOOKUP(B115,$L$121:$M$125,2)," ")</f>
        <v>Pembayaran tagihan Listrik</v>
      </c>
      <c r="D115" s="46" t="s">
        <v>24</v>
      </c>
      <c r="E115" s="44" t="s">
        <v>17</v>
      </c>
      <c r="F115" s="47"/>
      <c r="G115" s="48"/>
      <c r="H115" s="49"/>
      <c r="I115" s="49" t="n">
        <f aca="false">H115*F115</f>
        <v>0</v>
      </c>
      <c r="J115" s="21"/>
      <c r="L115" s="15" t="s">
        <v>293</v>
      </c>
      <c r="M115" s="15" t="s">
        <v>294</v>
      </c>
      <c r="N115" s="22"/>
      <c r="O115" s="56"/>
      <c r="P115" s="22"/>
    </row>
    <row r="116" customFormat="false" ht="15" hidden="false" customHeight="true" outlineLevel="0" collapsed="false">
      <c r="A116" s="39"/>
      <c r="B116" s="15" t="s">
        <v>310</v>
      </c>
      <c r="C116" s="19" t="str">
        <f aca="false">IFERROR(VLOOKUP(B116,$L$121:$M$125,2)," ")</f>
        <v>Pulsa Kuota Internet</v>
      </c>
      <c r="D116" s="46" t="s">
        <v>24</v>
      </c>
      <c r="E116" s="44" t="s">
        <v>78</v>
      </c>
      <c r="F116" s="47"/>
      <c r="G116" s="48"/>
      <c r="H116" s="20"/>
      <c r="I116" s="49" t="n">
        <f aca="false">H116*F116</f>
        <v>0</v>
      </c>
      <c r="J116" s="54"/>
      <c r="L116" s="15" t="s">
        <v>295</v>
      </c>
      <c r="M116" s="15" t="s">
        <v>296</v>
      </c>
      <c r="N116" s="22"/>
      <c r="O116" s="56"/>
      <c r="P116" s="22"/>
    </row>
    <row r="117" customFormat="false" ht="15" hidden="false" customHeight="true" outlineLevel="0" collapsed="false">
      <c r="A117" s="39"/>
      <c r="B117" s="15"/>
      <c r="C117" s="19" t="str">
        <f aca="false">IFERROR(VLOOKUP(B117,$L$121:$M$125,2)," ")</f>
        <v> </v>
      </c>
      <c r="D117" s="46"/>
      <c r="E117" s="44"/>
      <c r="F117" s="47"/>
      <c r="G117" s="48"/>
      <c r="H117" s="20"/>
      <c r="I117" s="49" t="n">
        <f aca="false">H117*F117</f>
        <v>0</v>
      </c>
      <c r="J117" s="54"/>
      <c r="L117" s="15" t="s">
        <v>297</v>
      </c>
      <c r="M117" s="15" t="s">
        <v>298</v>
      </c>
      <c r="N117" s="22"/>
      <c r="O117" s="56"/>
      <c r="P117" s="22"/>
    </row>
    <row r="118" customFormat="false" ht="15" hidden="false" customHeight="true" outlineLevel="0" collapsed="false">
      <c r="A118" s="39"/>
      <c r="B118" s="57"/>
      <c r="C118" s="51" t="str">
        <f aca="false">IFERROR(VLOOKUP(B118,$L$121:$M$125,2)," ")</f>
        <v> </v>
      </c>
      <c r="D118" s="71"/>
      <c r="E118" s="72"/>
      <c r="F118" s="73"/>
      <c r="G118" s="74"/>
      <c r="H118" s="61"/>
      <c r="I118" s="49" t="n">
        <f aca="false">H118*F118</f>
        <v>0</v>
      </c>
      <c r="J118" s="21"/>
      <c r="L118" s="15" t="s">
        <v>299</v>
      </c>
      <c r="M118" s="15" t="s">
        <v>300</v>
      </c>
      <c r="N118" s="22"/>
      <c r="O118" s="56"/>
      <c r="P118" s="22"/>
    </row>
    <row r="119" customFormat="false" ht="15" hidden="false" customHeight="true" outlineLevel="0" collapsed="false">
      <c r="A119" s="39"/>
      <c r="B119" s="62" t="s">
        <v>99</v>
      </c>
      <c r="C119" s="62"/>
      <c r="D119" s="62"/>
      <c r="E119" s="62"/>
      <c r="F119" s="62"/>
      <c r="G119" s="62"/>
      <c r="H119" s="62"/>
      <c r="I119" s="63" t="n">
        <v>3655000</v>
      </c>
      <c r="J119" s="21"/>
      <c r="L119" s="15" t="s">
        <v>301</v>
      </c>
      <c r="M119" s="15" t="s">
        <v>302</v>
      </c>
      <c r="N119" s="22"/>
      <c r="O119" s="56"/>
      <c r="P119" s="22"/>
    </row>
    <row r="120" customFormat="false" ht="15" hidden="false" customHeight="true" outlineLevel="0" collapsed="false">
      <c r="A120" s="39"/>
      <c r="B120" s="40" t="s">
        <v>303</v>
      </c>
      <c r="C120" s="69" t="str">
        <f aca="false">IFERROR(VLOOKUP(B120,$L$126:$M$129,2)," ")</f>
        <v>Kegiatan Ekstrakurikuler</v>
      </c>
      <c r="D120" s="77"/>
      <c r="E120" s="77"/>
      <c r="F120" s="77"/>
      <c r="G120" s="77"/>
      <c r="H120" s="78"/>
      <c r="I120" s="79"/>
      <c r="J120" s="21"/>
      <c r="L120" s="15" t="s">
        <v>304</v>
      </c>
      <c r="M120" s="15" t="s">
        <v>197</v>
      </c>
      <c r="N120" s="22"/>
      <c r="O120" s="56"/>
      <c r="P120" s="22"/>
    </row>
    <row r="121" customFormat="false" ht="15" hidden="false" customHeight="true" outlineLevel="0" collapsed="false">
      <c r="A121" s="39"/>
      <c r="B121" s="44" t="s">
        <v>305</v>
      </c>
      <c r="C121" s="70" t="str">
        <f aca="false">IFERROR(VLOOKUP(B121,$L$126:$M$129,2)," ")</f>
        <v>Al-banjari</v>
      </c>
      <c r="D121" s="46"/>
      <c r="E121" s="44"/>
      <c r="F121" s="47"/>
      <c r="G121" s="48"/>
      <c r="H121" s="49"/>
      <c r="I121" s="49" t="n">
        <f aca="false">H121*F121</f>
        <v>0</v>
      </c>
      <c r="J121" s="54"/>
      <c r="L121" s="37" t="s">
        <v>290</v>
      </c>
      <c r="M121" s="81" t="s">
        <v>306</v>
      </c>
      <c r="N121" s="22"/>
      <c r="O121" s="56"/>
      <c r="P121" s="22"/>
    </row>
    <row r="122" customFormat="false" ht="15" hidden="false" customHeight="true" outlineLevel="0" collapsed="false">
      <c r="A122" s="39"/>
      <c r="B122" s="15" t="s">
        <v>307</v>
      </c>
      <c r="C122" s="19" t="str">
        <f aca="false">IFERROR(VLOOKUP(B122,$L$126:$M$129,2)," ")</f>
        <v>Lainnya</v>
      </c>
      <c r="D122" s="46"/>
      <c r="E122" s="44"/>
      <c r="F122" s="47"/>
      <c r="G122" s="48"/>
      <c r="H122" s="20"/>
      <c r="I122" s="49" t="n">
        <f aca="false">H122*F122</f>
        <v>0</v>
      </c>
      <c r="J122" s="54"/>
      <c r="L122" s="15" t="s">
        <v>308</v>
      </c>
      <c r="M122" s="15" t="s">
        <v>309</v>
      </c>
      <c r="N122" s="22"/>
      <c r="O122" s="56"/>
      <c r="P122" s="22"/>
    </row>
    <row r="123" customFormat="false" ht="15" hidden="false" customHeight="true" outlineLevel="0" collapsed="false">
      <c r="A123" s="39"/>
      <c r="B123" s="57"/>
      <c r="C123" s="51" t="str">
        <f aca="false">IFERROR(VLOOKUP(B123,$L$126:$M$129,2)," ")</f>
        <v> </v>
      </c>
      <c r="D123" s="71"/>
      <c r="E123" s="72"/>
      <c r="F123" s="73"/>
      <c r="G123" s="74"/>
      <c r="H123" s="61"/>
      <c r="I123" s="49" t="n">
        <f aca="false">H123*F123</f>
        <v>0</v>
      </c>
      <c r="J123" s="54"/>
      <c r="L123" s="15" t="s">
        <v>310</v>
      </c>
      <c r="M123" s="15" t="s">
        <v>311</v>
      </c>
      <c r="N123" s="22"/>
      <c r="O123" s="56"/>
      <c r="P123" s="22"/>
    </row>
    <row r="124" customFormat="false" ht="15" hidden="false" customHeight="true" outlineLevel="0" collapsed="false">
      <c r="A124" s="39"/>
      <c r="B124" s="62" t="s">
        <v>99</v>
      </c>
      <c r="C124" s="62"/>
      <c r="D124" s="62"/>
      <c r="E124" s="62"/>
      <c r="F124" s="62"/>
      <c r="G124" s="62"/>
      <c r="H124" s="62"/>
      <c r="I124" s="63" t="n">
        <f aca="false">SUM(I121:I123)</f>
        <v>0</v>
      </c>
      <c r="J124" s="54"/>
      <c r="L124" s="15" t="s">
        <v>312</v>
      </c>
      <c r="M124" s="15" t="s">
        <v>313</v>
      </c>
      <c r="N124" s="22"/>
      <c r="O124" s="56"/>
      <c r="P124" s="22"/>
    </row>
    <row r="125" customFormat="false" ht="15" hidden="false" customHeight="true" outlineLevel="0" collapsed="false">
      <c r="A125" s="39"/>
      <c r="B125" s="40" t="s">
        <v>314</v>
      </c>
      <c r="C125" s="41" t="str">
        <f aca="false">IFERROR(VLOOKUP(B125,$L$130:$M$133,2)," ")</f>
        <v>Laporan Pertanggung Jawaban</v>
      </c>
      <c r="D125" s="77"/>
      <c r="E125" s="77"/>
      <c r="F125" s="77"/>
      <c r="G125" s="77"/>
      <c r="H125" s="78"/>
      <c r="I125" s="79"/>
      <c r="J125" s="54"/>
      <c r="L125" s="15" t="s">
        <v>315</v>
      </c>
      <c r="M125" s="15" t="s">
        <v>197</v>
      </c>
      <c r="N125" s="22"/>
      <c r="O125" s="56"/>
      <c r="P125" s="22"/>
    </row>
    <row r="126" customFormat="false" ht="15" hidden="false" customHeight="true" outlineLevel="0" collapsed="false">
      <c r="A126" s="39"/>
      <c r="B126" s="44" t="s">
        <v>324</v>
      </c>
      <c r="C126" s="45" t="str">
        <f aca="false">IFERROR(VLOOKUP(B126,$L$130:$M$133,2)," ")</f>
        <v>Biaya Cetak dan Penggandaan Program Madrasah</v>
      </c>
      <c r="D126" s="46" t="s">
        <v>19</v>
      </c>
      <c r="E126" s="44" t="s">
        <v>68</v>
      </c>
      <c r="F126" s="47"/>
      <c r="G126" s="48"/>
      <c r="H126" s="82"/>
      <c r="I126" s="49" t="n">
        <f aca="false">H126*F126</f>
        <v>0</v>
      </c>
      <c r="J126" s="54"/>
      <c r="L126" s="37" t="s">
        <v>303</v>
      </c>
      <c r="M126" s="81" t="s">
        <v>316</v>
      </c>
      <c r="N126" s="22"/>
      <c r="O126" s="56"/>
      <c r="P126" s="22"/>
    </row>
    <row r="127" customFormat="false" ht="15" hidden="false" customHeight="true" outlineLevel="0" collapsed="false">
      <c r="A127" s="39"/>
      <c r="B127" s="15" t="s">
        <v>327</v>
      </c>
      <c r="C127" s="19" t="str">
        <f aca="false">IFERROR(VLOOKUP(B127,$L$130:$M$133,2)," ")</f>
        <v>Biaya Cetak dan Penggandaan LPJ Keuangan</v>
      </c>
      <c r="D127" s="46" t="s">
        <v>19</v>
      </c>
      <c r="E127" s="44" t="s">
        <v>68</v>
      </c>
      <c r="F127" s="47"/>
      <c r="G127" s="48"/>
      <c r="H127" s="83"/>
      <c r="I127" s="49" t="n">
        <f aca="false">H127*F127</f>
        <v>0</v>
      </c>
      <c r="J127" s="54"/>
      <c r="L127" s="15" t="s">
        <v>305</v>
      </c>
      <c r="M127" s="64" t="s">
        <v>317</v>
      </c>
      <c r="N127" s="22"/>
      <c r="O127" s="56"/>
      <c r="P127" s="22"/>
    </row>
    <row r="128" customFormat="false" ht="15" hidden="false" customHeight="true" outlineLevel="0" collapsed="false">
      <c r="A128" s="39"/>
      <c r="B128" s="57"/>
      <c r="C128" s="51" t="str">
        <f aca="false">IFERROR(VLOOKUP(B128,$L$130:$M$133,2)," ")</f>
        <v> </v>
      </c>
      <c r="D128" s="71"/>
      <c r="E128" s="72"/>
      <c r="F128" s="73"/>
      <c r="G128" s="74"/>
      <c r="H128" s="84"/>
      <c r="I128" s="49" t="n">
        <f aca="false">H128*F128</f>
        <v>0</v>
      </c>
      <c r="J128" s="21"/>
      <c r="L128" s="15" t="s">
        <v>318</v>
      </c>
      <c r="M128" s="64" t="s">
        <v>319</v>
      </c>
      <c r="N128" s="22"/>
      <c r="O128" s="56"/>
      <c r="P128" s="22"/>
    </row>
    <row r="129" customFormat="false" ht="15" hidden="false" customHeight="true" outlineLevel="0" collapsed="false">
      <c r="A129" s="39"/>
      <c r="B129" s="62" t="s">
        <v>99</v>
      </c>
      <c r="C129" s="62"/>
      <c r="D129" s="62"/>
      <c r="E129" s="62"/>
      <c r="F129" s="62"/>
      <c r="G129" s="62"/>
      <c r="H129" s="62"/>
      <c r="I129" s="63" t="n">
        <v>250000</v>
      </c>
      <c r="J129" s="21"/>
      <c r="L129" s="15" t="s">
        <v>307</v>
      </c>
      <c r="M129" s="64" t="s">
        <v>197</v>
      </c>
      <c r="N129" s="22"/>
      <c r="O129" s="56"/>
      <c r="P129" s="22"/>
    </row>
    <row r="130" customFormat="false" ht="15" hidden="false" customHeight="true" outlineLevel="0" collapsed="false">
      <c r="A130" s="39"/>
      <c r="B130" s="40" t="s">
        <v>320</v>
      </c>
      <c r="C130" s="41" t="str">
        <f aca="false">IFERROR(VLOOKUP(B130,$L$134:$M$137,2)," ")</f>
        <v>Lain-lain</v>
      </c>
      <c r="D130" s="77"/>
      <c r="E130" s="77"/>
      <c r="F130" s="77"/>
      <c r="G130" s="77"/>
      <c r="H130" s="78"/>
      <c r="I130" s="79"/>
      <c r="J130" s="21"/>
      <c r="L130" s="37" t="s">
        <v>314</v>
      </c>
      <c r="M130" s="81" t="s">
        <v>321</v>
      </c>
      <c r="N130" s="22"/>
      <c r="O130" s="56"/>
      <c r="P130" s="22"/>
    </row>
    <row r="131" customFormat="false" ht="15" hidden="false" customHeight="true" outlineLevel="0" collapsed="false">
      <c r="A131" s="39"/>
      <c r="B131" s="44" t="s">
        <v>322</v>
      </c>
      <c r="C131" s="45" t="str">
        <f aca="false">IFERROR(VLOOKUP(B131,$L$134:$M$137,2)," ")</f>
        <v>Hadiah IMDA</v>
      </c>
      <c r="D131" s="46" t="s">
        <v>24</v>
      </c>
      <c r="E131" s="44" t="s">
        <v>78</v>
      </c>
      <c r="F131" s="47"/>
      <c r="G131" s="48"/>
      <c r="H131" s="49"/>
      <c r="I131" s="49" t="n">
        <f aca="false">H131*F131</f>
        <v>0</v>
      </c>
      <c r="J131" s="54"/>
      <c r="L131" s="15" t="s">
        <v>324</v>
      </c>
      <c r="M131" s="50" t="s">
        <v>325</v>
      </c>
      <c r="N131" s="22"/>
      <c r="O131" s="56"/>
      <c r="P131" s="22"/>
    </row>
    <row r="132" customFormat="false" ht="16.5" hidden="false" customHeight="true" outlineLevel="0" collapsed="false">
      <c r="A132" s="39"/>
      <c r="B132" s="15" t="s">
        <v>326</v>
      </c>
      <c r="C132" s="19" t="str">
        <f aca="false">IFERROR(VLOOKUP(B132,$L$134:$M$137,2)," ")</f>
        <v>Pemeliharaan Sarana Prasarana</v>
      </c>
      <c r="D132" s="46" t="s">
        <v>19</v>
      </c>
      <c r="E132" s="44" t="s">
        <v>98</v>
      </c>
      <c r="F132" s="47"/>
      <c r="G132" s="48"/>
      <c r="H132" s="20"/>
      <c r="I132" s="49" t="n">
        <f aca="false">H132*F132</f>
        <v>0</v>
      </c>
      <c r="J132" s="54"/>
      <c r="L132" s="15" t="s">
        <v>327</v>
      </c>
      <c r="M132" s="50" t="s">
        <v>328</v>
      </c>
      <c r="N132" s="22"/>
      <c r="O132" s="56"/>
      <c r="P132" s="22"/>
    </row>
    <row r="133" customFormat="false" ht="15" hidden="false" customHeight="true" outlineLevel="0" collapsed="false">
      <c r="A133" s="39"/>
      <c r="B133" s="15"/>
      <c r="C133" s="30" t="str">
        <f aca="false">IFERROR(VLOOKUP(B133,$L$134:$M$137,2)," ")</f>
        <v> </v>
      </c>
      <c r="D133" s="46"/>
      <c r="E133" s="44"/>
      <c r="F133" s="47"/>
      <c r="G133" s="48"/>
      <c r="H133" s="20"/>
      <c r="I133" s="49" t="n">
        <f aca="false">H133*F133</f>
        <v>0</v>
      </c>
      <c r="L133" s="15" t="s">
        <v>329</v>
      </c>
      <c r="M133" s="50" t="s">
        <v>197</v>
      </c>
      <c r="N133" s="22"/>
      <c r="O133" s="56"/>
      <c r="P133" s="22"/>
    </row>
    <row r="134" customFormat="false" ht="15" hidden="false" customHeight="true" outlineLevel="0" collapsed="false">
      <c r="A134" s="39"/>
      <c r="B134" s="62" t="s">
        <v>99</v>
      </c>
      <c r="C134" s="62"/>
      <c r="D134" s="62"/>
      <c r="E134" s="62"/>
      <c r="F134" s="62"/>
      <c r="G134" s="62"/>
      <c r="H134" s="62"/>
      <c r="I134" s="85" t="n">
        <v>1480000</v>
      </c>
      <c r="J134" s="3"/>
      <c r="L134" s="37" t="s">
        <v>320</v>
      </c>
      <c r="M134" s="81" t="s">
        <v>330</v>
      </c>
      <c r="N134" s="22"/>
      <c r="O134" s="56"/>
      <c r="P134" s="22"/>
    </row>
    <row r="135" customFormat="false" ht="15" hidden="false" customHeight="true" outlineLevel="0" collapsed="false">
      <c r="A135" s="86" t="s">
        <v>349</v>
      </c>
      <c r="B135" s="86"/>
      <c r="C135" s="86"/>
      <c r="D135" s="86"/>
      <c r="E135" s="86"/>
      <c r="F135" s="86"/>
      <c r="G135" s="86"/>
      <c r="H135" s="86"/>
      <c r="I135" s="87" t="n">
        <f aca="false">SUM(I33,I49,I59,I66,I73,I84,I91,I99,I113,I119,I124,I129,I134)</f>
        <v>102245000</v>
      </c>
      <c r="L135" s="15" t="s">
        <v>326</v>
      </c>
      <c r="M135" s="50" t="s">
        <v>332</v>
      </c>
      <c r="N135" s="22"/>
      <c r="O135" s="56"/>
      <c r="P135" s="22"/>
    </row>
    <row r="136" customFormat="false" ht="15" hidden="false" customHeight="true" outlineLevel="0" collapsed="false">
      <c r="D136" s="88"/>
      <c r="L136" s="15" t="s">
        <v>333</v>
      </c>
      <c r="M136" s="50" t="s">
        <v>334</v>
      </c>
      <c r="N136" s="22"/>
      <c r="O136" s="56"/>
      <c r="P136" s="22"/>
    </row>
    <row r="137" customFormat="false" ht="15" hidden="false" customHeight="true" outlineLevel="0" collapsed="false">
      <c r="A137" s="89" t="s">
        <v>6</v>
      </c>
      <c r="B137" s="89" t="s">
        <v>7</v>
      </c>
      <c r="C137" s="89" t="s">
        <v>8</v>
      </c>
      <c r="D137" s="89"/>
      <c r="E137" s="89" t="s">
        <v>14</v>
      </c>
      <c r="F137" s="3"/>
      <c r="G137" s="3"/>
      <c r="H137" s="3"/>
      <c r="I137" s="3"/>
      <c r="L137" s="15" t="s">
        <v>322</v>
      </c>
      <c r="M137" s="50" t="s">
        <v>335</v>
      </c>
      <c r="N137" s="22"/>
      <c r="O137" s="56"/>
      <c r="P137" s="22"/>
    </row>
    <row r="138" customFormat="false" ht="15" hidden="false" customHeight="true" outlineLevel="0" collapsed="false">
      <c r="A138" s="89" t="n">
        <v>1</v>
      </c>
      <c r="B138" s="90" t="s">
        <v>336</v>
      </c>
      <c r="C138" s="15" t="str">
        <f aca="false">A22</f>
        <v>TOTAL REALISASI ANGGARAN PENDAPATAN</v>
      </c>
      <c r="D138" s="15"/>
      <c r="E138" s="20" t="n">
        <f aca="false">I22</f>
        <v>108880000</v>
      </c>
    </row>
    <row r="139" customFormat="false" ht="15" hidden="false" customHeight="true" outlineLevel="0" collapsed="false">
      <c r="A139" s="89" t="n">
        <v>2</v>
      </c>
      <c r="B139" s="90" t="s">
        <v>337</v>
      </c>
      <c r="C139" s="15" t="str">
        <f aca="false">A135</f>
        <v>TOTAL REALISASI ANGGARAN BELANJA</v>
      </c>
      <c r="D139" s="15"/>
      <c r="E139" s="20" t="n">
        <f aca="false">I135</f>
        <v>102245000</v>
      </c>
    </row>
    <row r="140" customFormat="false" ht="15" hidden="false" customHeight="true" outlineLevel="0" collapsed="false">
      <c r="A140" s="89"/>
      <c r="B140" s="89" t="s">
        <v>338</v>
      </c>
      <c r="C140" s="89"/>
      <c r="D140" s="95" t="str">
        <f aca="false">IF(E140&lt;=0,"MINUS","SURPLUS")</f>
        <v>SURPLUS</v>
      </c>
      <c r="E140" s="92" t="n">
        <f aca="false">E138-E139</f>
        <v>6635000</v>
      </c>
    </row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>
      <c r="C143" s="1" t="s">
        <v>339</v>
      </c>
    </row>
    <row r="144" customFormat="false" ht="15" hidden="false" customHeight="true" outlineLevel="0" collapsed="false">
      <c r="C144" s="1" t="s">
        <v>350</v>
      </c>
      <c r="F144" s="93" t="s">
        <v>351</v>
      </c>
      <c r="G144" s="93"/>
      <c r="H144" s="93"/>
      <c r="I144" s="93"/>
    </row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>
      <c r="C148" s="94" t="s">
        <v>352</v>
      </c>
      <c r="D148" s="94"/>
      <c r="E148" s="94"/>
      <c r="F148" s="94" t="s">
        <v>342</v>
      </c>
      <c r="G148" s="94"/>
    </row>
    <row r="149" customFormat="false" ht="15" hidden="false" customHeight="true" outlineLevel="0" collapsed="false">
      <c r="C149" s="94"/>
      <c r="D149" s="94"/>
      <c r="E149" s="94"/>
      <c r="F149" s="94"/>
      <c r="G149" s="94"/>
    </row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</sheetData>
  <mergeCells count="38">
    <mergeCell ref="A1:I1"/>
    <mergeCell ref="A2:I2"/>
    <mergeCell ref="A3:I3"/>
    <mergeCell ref="B5:I5"/>
    <mergeCell ref="L5:P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9:A21"/>
    <mergeCell ref="L21:P22"/>
    <mergeCell ref="A22:H22"/>
    <mergeCell ref="B24:I24"/>
    <mergeCell ref="A27:A134"/>
    <mergeCell ref="B33:H33"/>
    <mergeCell ref="B49:H49"/>
    <mergeCell ref="B59:H59"/>
    <mergeCell ref="B66:H66"/>
    <mergeCell ref="B73:H73"/>
    <mergeCell ref="B84:H84"/>
    <mergeCell ref="B91:H91"/>
    <mergeCell ref="B99:H99"/>
    <mergeCell ref="B113:H113"/>
    <mergeCell ref="B119:H119"/>
    <mergeCell ref="B124:H124"/>
    <mergeCell ref="B129:H129"/>
    <mergeCell ref="B134:H134"/>
    <mergeCell ref="A135:H135"/>
    <mergeCell ref="C137:D137"/>
    <mergeCell ref="C138:D138"/>
    <mergeCell ref="C139:D139"/>
    <mergeCell ref="B140:C140"/>
    <mergeCell ref="F144:I144"/>
  </mergeCells>
  <dataValidations count="20">
    <dataValidation allowBlank="true" errorStyle="stop" operator="between" showDropDown="false" showErrorMessage="true" showInputMessage="true" sqref="G9:G21" type="list">
      <formula1>$O$8:$O$16</formula1>
      <formula2>0</formula2>
    </dataValidation>
    <dataValidation allowBlank="true" errorStyle="stop" operator="between" showDropDown="false" showErrorMessage="true" showInputMessage="true" sqref="D9:D21" type="list">
      <formula1>$P$8:$P$14</formula1>
      <formula2>0</formula2>
    </dataValidation>
    <dataValidation allowBlank="true" errorStyle="stop" operator="between" showDropDown="false" showErrorMessage="true" showInputMessage="true" sqref="B9:B21" type="list">
      <formula1>$L$8:$L$19</formula1>
      <formula2>0</formula2>
    </dataValidation>
    <dataValidation allowBlank="true" errorStyle="stop" operator="between" showDropDown="false" showErrorMessage="true" showInputMessage="true" sqref="E9:E21" type="list">
      <formula1>$N$8:$N$16</formula1>
      <formula2>0</formula2>
    </dataValidation>
    <dataValidation allowBlank="true" errorStyle="stop" operator="between" showDropDown="false" showErrorMessage="true" showInputMessage="true" sqref="G28:G32 G35:G48 G51:G58 G61:G65 G68:G72 G75:G83 G86:G90 G93:G98 G101:G112 G115:G118 G121:G123 G126:G128 G131:G133" type="list">
      <formula1>$O$24:$O$55</formula1>
      <formula2>0</formula2>
    </dataValidation>
    <dataValidation allowBlank="true" errorStyle="stop" operator="between" showDropDown="false" showErrorMessage="true" showInputMessage="true" sqref="E28:E32 E35:E48 E51:E58 E61:E65 E68:E72 E75:E83 E86:E90 E93:E98 E101:E112 E115:E118 E121:E123 E126:E128 E131:E133" type="list">
      <formula1>$P$24:$P$44</formula1>
      <formula2>0</formula2>
    </dataValidation>
    <dataValidation allowBlank="true" errorStyle="stop" operator="between" showDropDown="false" showErrorMessage="true" showInputMessage="true" sqref="D28:D32 D35:D48 D51:D58 D61:D65 D68:D72 D75:D83 D86:D90 D93:D98 D101:D112 D115:D118 D121:D123 D126:D128 D131:D133" type="list">
      <formula1>$N$25:$N$31</formula1>
      <formula2>0</formula2>
    </dataValidation>
    <dataValidation allowBlank="true" errorStyle="stop" operator="between" showDropDown="false" showErrorMessage="true" showInputMessage="true" sqref="B130:B133" type="list">
      <formula1>$L$134:$L$137</formula1>
      <formula2>0</formula2>
    </dataValidation>
    <dataValidation allowBlank="true" errorStyle="stop" operator="between" showDropDown="false" showErrorMessage="true" showInputMessage="true" sqref="B125:B128" type="list">
      <formula1>$L$130:$L$133</formula1>
      <formula2>0</formula2>
    </dataValidation>
    <dataValidation allowBlank="true" errorStyle="stop" operator="between" showDropDown="false" showErrorMessage="true" showInputMessage="true" sqref="B120:B123" type="list">
      <formula1>$L$126:$L$129</formula1>
      <formula2>0</formula2>
    </dataValidation>
    <dataValidation allowBlank="true" errorStyle="stop" operator="between" showDropDown="false" showErrorMessage="true" showInputMessage="true" sqref="B114:B118" type="list">
      <formula1>$L$121:$L$125</formula1>
      <formula2>0</formula2>
    </dataValidation>
    <dataValidation allowBlank="true" errorStyle="stop" operator="between" showDropDown="false" showErrorMessage="true" showInputMessage="true" sqref="B100:B112" type="list">
      <formula1>$L$108:$L$120</formula1>
      <formula2>0</formula2>
    </dataValidation>
    <dataValidation allowBlank="true" errorStyle="stop" operator="between" showDropDown="false" showErrorMessage="true" showInputMessage="true" sqref="B92:B98" type="list">
      <formula1>$L$101:$L$107</formula1>
      <formula2>0</formula2>
    </dataValidation>
    <dataValidation allowBlank="true" errorStyle="stop" operator="between" showDropDown="false" showErrorMessage="true" showInputMessage="true" sqref="B85:B90" type="list">
      <formula1>$L$95:$L$100</formula1>
      <formula2>0</formula2>
    </dataValidation>
    <dataValidation allowBlank="true" errorStyle="stop" operator="between" showDropDown="false" showErrorMessage="true" showInputMessage="true" sqref="B74:B83" type="list">
      <formula1>$L$85:$L$94</formula1>
      <formula2>0</formula2>
    </dataValidation>
    <dataValidation allowBlank="true" errorStyle="stop" operator="between" showDropDown="false" showErrorMessage="true" showInputMessage="true" sqref="B67:B72" type="list">
      <formula1>$L$79:$L$84</formula1>
      <formula2>0</formula2>
    </dataValidation>
    <dataValidation allowBlank="true" errorStyle="stop" operator="between" showDropDown="false" showErrorMessage="true" showInputMessage="true" sqref="B60:B65" type="list">
      <formula1>$L$73:$L$78</formula1>
      <formula2>0</formula2>
    </dataValidation>
    <dataValidation allowBlank="true" errorStyle="stop" operator="between" showDropDown="false" showErrorMessage="true" showInputMessage="true" sqref="B50:B58" type="list">
      <formula1>$L$63:$L$72</formula1>
      <formula2>0</formula2>
    </dataValidation>
    <dataValidation allowBlank="true" errorStyle="stop" operator="between" showDropDown="false" showErrorMessage="true" showInputMessage="true" sqref="B34:B48" type="list">
      <formula1>$L$29:$L$62</formula1>
      <formula2>0</formula2>
    </dataValidation>
    <dataValidation allowBlank="true" errorStyle="stop" operator="between" showDropDown="false" showErrorMessage="true" showInputMessage="true" sqref="B27:B32" type="list">
      <formula1>$L$24:$L$28</formula1>
      <formula2>0</formula2>
    </dataValidation>
  </dataValidations>
  <printOptions headings="false" gridLines="false" gridLinesSet="true" horizontalCentered="false" verticalCentered="false"/>
  <pageMargins left="0.840277777777778" right="0.7" top="0.270138888888889" bottom="0.2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2022-07-26T08:47:43Z</dcterms:created>
  <dc:creator>MOHAMMAD ROHADI</dc:creator>
  <dc:description/>
  <dc:language>en-US</dc:language>
  <cp:lastModifiedBy/>
  <cp:lastPrinted>2024-01-01T15:24:28Z</cp:lastPrinted>
  <dcterms:modified xsi:type="dcterms:W3CDTF">2026-07-26T15:22:43Z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